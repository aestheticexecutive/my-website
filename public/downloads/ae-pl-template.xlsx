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P&amp;L" sheetId="1" state="visible" r:id="rId1"/>
    <sheet xmlns:r="http://schemas.openxmlformats.org/officeDocument/2006/relationships" name="Revenue by Service" sheetId="2" state="visible" r:id="rId2"/>
    <sheet xmlns:r="http://schemas.openxmlformats.org/officeDocument/2006/relationships" name="Revenue by Provider" sheetId="3" state="visible" r:id="rId3"/>
    <sheet xmlns:r="http://schemas.openxmlformats.org/officeDocument/2006/relationships" name="KPI Dashboar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;($#,##0);&quot;-&quot;"/>
    <numFmt numFmtId="165" formatCode="0.0%"/>
  </numFmts>
  <fonts count="22">
    <font>
      <name val="Calibri"/>
      <family val="2"/>
      <color theme="1"/>
      <sz val="11"/>
      <scheme val="minor"/>
    </font>
    <font>
      <name val="Arial"/>
      <b val="1"/>
      <color rgb="00FFFDF6"/>
      <sz val="14"/>
    </font>
    <font>
      <name val="Arial"/>
      <b val="1"/>
      <color rgb="007A5C40"/>
      <sz val="10"/>
    </font>
    <font>
      <name val="Arial"/>
      <color rgb="000000FF"/>
      <sz val="10"/>
    </font>
    <font>
      <name val="Arial"/>
      <i val="1"/>
      <color rgb="00888888"/>
      <sz val="9"/>
    </font>
    <font>
      <name val="Arial"/>
      <b val="1"/>
      <color rgb="00FFFDF6"/>
      <sz val="9"/>
    </font>
    <font>
      <name val="Arial"/>
      <b val="1"/>
      <color rgb="00FFFDF6"/>
      <sz val="10"/>
    </font>
    <font>
      <name val="Arial"/>
      <color rgb="00000000"/>
      <sz val="10"/>
    </font>
    <font>
      <name val="Arial"/>
      <b val="1"/>
      <color rgb="00000000"/>
      <sz val="10"/>
    </font>
    <font>
      <name val="Arial"/>
      <b val="1"/>
      <color rgb="00FFFDF6"/>
      <sz val="11"/>
    </font>
    <font>
      <name val="Arial"/>
      <i val="1"/>
      <color rgb="00555555"/>
      <sz val="10"/>
    </font>
    <font>
      <name val="Arial"/>
      <i val="1"/>
      <color rgb="002E7D32"/>
      <sz val="9"/>
    </font>
    <font>
      <name val="Arial"/>
      <b val="1"/>
      <color rgb="00FFFDF6"/>
      <sz val="12"/>
    </font>
    <font>
      <name val="Arial"/>
      <b val="1"/>
      <i val="1"/>
      <color rgb="007A5C40"/>
      <sz val="10"/>
    </font>
    <font>
      <name val="Arial"/>
      <b val="1"/>
      <color rgb="001F0010"/>
      <sz val="10"/>
    </font>
    <font>
      <name val="Arial"/>
      <color rgb="001B6B2A"/>
      <sz val="10"/>
    </font>
    <font>
      <name val="Arial"/>
      <b val="1"/>
      <color rgb="001B6B2A"/>
      <sz val="10"/>
    </font>
    <font>
      <name val="Arial"/>
      <color rgb="001F0010"/>
      <sz val="10"/>
    </font>
    <font>
      <name val="Arial"/>
      <color rgb="000000FF"/>
      <sz val="9"/>
    </font>
    <font>
      <name val="Arial"/>
      <color rgb="00000000"/>
      <sz val="9"/>
    </font>
    <font>
      <name val="Arial"/>
      <color rgb="001B6B2A"/>
      <sz val="9"/>
    </font>
    <font>
      <name val="Arial"/>
      <color rgb="002E7D32"/>
      <sz val="9"/>
    </font>
  </fonts>
  <fills count="12">
    <fill>
      <patternFill/>
    </fill>
    <fill>
      <patternFill patternType="gray125"/>
    </fill>
    <fill>
      <patternFill patternType="solid">
        <fgColor rgb="002F0410"/>
      </patternFill>
    </fill>
    <fill>
      <patternFill patternType="solid">
        <fgColor rgb="00F5EDE4"/>
      </patternFill>
    </fill>
    <fill>
      <patternFill patternType="solid">
        <fgColor rgb="00FFFFFF"/>
      </patternFill>
    </fill>
    <fill>
      <patternFill patternType="solid">
        <fgColor rgb="00F9F5F1"/>
      </patternFill>
    </fill>
    <fill>
      <patternFill patternType="solid">
        <fgColor rgb="001F0010"/>
      </patternFill>
    </fill>
    <fill>
      <patternFill patternType="solid">
        <fgColor rgb="003B0518"/>
      </patternFill>
    </fill>
    <fill>
      <patternFill patternType="solid">
        <fgColor rgb="000F0007"/>
      </patternFill>
    </fill>
    <fill>
      <patternFill patternType="solid">
        <fgColor rgb="00EDE5DB"/>
      </patternFill>
    </fill>
    <fill>
      <patternFill patternType="solid">
        <fgColor rgb="00F0F7EE"/>
      </patternFill>
    </fill>
    <fill>
      <patternFill patternType="solid">
        <fgColor rgb="005C1A30"/>
      </patternFill>
    </fill>
  </fills>
  <borders count="4">
    <border>
      <left/>
      <right/>
      <top/>
      <bottom/>
      <diagonal/>
    </border>
    <border>
      <left style="thin">
        <color rgb="00D0C8BE"/>
      </left>
      <right style="thin">
        <color rgb="00D0C8BE"/>
      </right>
      <top style="thin">
        <color rgb="00D0C8BE"/>
      </top>
      <bottom style="thin">
        <color rgb="00D0C8BE"/>
      </bottom>
    </border>
    <border>
      <bottom style="thin">
        <color rgb="00D0C8BE"/>
      </bottom>
    </border>
    <border>
      <left style="thin">
        <color rgb="005C1A30"/>
      </left>
      <right style="thin">
        <color rgb="005C1A30"/>
      </right>
      <top style="thin">
        <color rgb="005C1A30"/>
      </top>
      <bottom style="thin">
        <color rgb="005C1A30"/>
      </bottom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center" vertical="center"/>
    </xf>
    <xf numFmtId="0" fontId="4" fillId="5" borderId="0" applyAlignment="1" pivotButton="0" quotePrefix="0" xfId="0">
      <alignment horizontal="left" vertical="center"/>
    </xf>
    <xf numFmtId="0" fontId="5" fillId="6" borderId="0" applyAlignment="1" pivotButton="0" quotePrefix="0" xfId="0">
      <alignment horizontal="center" vertical="center"/>
    </xf>
    <xf numFmtId="0" fontId="6" fillId="7" borderId="0" applyAlignment="1" pivotButton="0" quotePrefix="0" xfId="0">
      <alignment horizontal="left" vertical="center"/>
    </xf>
    <xf numFmtId="0" fontId="0" fillId="7" borderId="0" pivotButton="0" quotePrefix="0" xfId="0"/>
    <xf numFmtId="0" fontId="3" fillId="4" borderId="0" applyAlignment="1" pivotButton="0" quotePrefix="0" xfId="0">
      <alignment horizontal="left" vertical="center"/>
    </xf>
    <xf numFmtId="164" fontId="3" fillId="4" borderId="2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164" fontId="8" fillId="7" borderId="0" applyAlignment="1" pivotButton="0" quotePrefix="0" xfId="0">
      <alignment horizontal="right" vertical="center"/>
    </xf>
    <xf numFmtId="0" fontId="3" fillId="5" borderId="0" applyAlignment="1" pivotButton="0" quotePrefix="0" xfId="0">
      <alignment horizontal="left" vertical="center"/>
    </xf>
    <xf numFmtId="164" fontId="3" fillId="5" borderId="2" applyAlignment="1" pivotButton="0" quotePrefix="0" xfId="0">
      <alignment horizontal="right" vertical="center"/>
    </xf>
    <xf numFmtId="0" fontId="9" fillId="8" borderId="0" applyAlignment="1" pivotButton="0" quotePrefix="0" xfId="0">
      <alignment horizontal="left" vertical="center"/>
    </xf>
    <xf numFmtId="164" fontId="9" fillId="8" borderId="1" applyAlignment="1" pivotButton="0" quotePrefix="0" xfId="0">
      <alignment horizontal="right" vertical="center"/>
    </xf>
    <xf numFmtId="164" fontId="9" fillId="8" borderId="0" applyAlignment="1" pivotButton="0" quotePrefix="0" xfId="0">
      <alignment horizontal="right" vertical="center"/>
    </xf>
    <xf numFmtId="0" fontId="10" fillId="9" borderId="0" applyAlignment="1" pivotButton="0" quotePrefix="0" xfId="0">
      <alignment horizontal="left" vertical="center"/>
    </xf>
    <xf numFmtId="165" fontId="10" fillId="9" borderId="0" applyAlignment="1" pivotButton="0" quotePrefix="0" xfId="0">
      <alignment horizontal="right" vertical="center"/>
    </xf>
    <xf numFmtId="0" fontId="11" fillId="10" borderId="0" applyAlignment="1" pivotButton="0" quotePrefix="0" xfId="0">
      <alignment horizontal="left" vertical="center"/>
    </xf>
    <xf numFmtId="0" fontId="6" fillId="11" borderId="0" applyAlignment="1" pivotButton="0" quotePrefix="0" xfId="0">
      <alignment horizontal="left" vertical="center"/>
    </xf>
    <xf numFmtId="164" fontId="8" fillId="11" borderId="1" applyAlignment="1" pivotButton="0" quotePrefix="0" xfId="0">
      <alignment horizontal="right" vertical="center"/>
    </xf>
    <xf numFmtId="164" fontId="8" fillId="11" borderId="0" applyAlignment="1" pivotButton="0" quotePrefix="0" xfId="0">
      <alignment horizontal="right" vertical="center"/>
    </xf>
    <xf numFmtId="0" fontId="12" fillId="8" borderId="0" applyAlignment="1" pivotButton="0" quotePrefix="0" xfId="0">
      <alignment horizontal="left" vertical="center"/>
    </xf>
    <xf numFmtId="164" fontId="12" fillId="8" borderId="3" applyAlignment="1" pivotButton="0" quotePrefix="0" xfId="0">
      <alignment horizontal="right" vertical="center"/>
    </xf>
    <xf numFmtId="164" fontId="12" fillId="8" borderId="0" applyAlignment="1" pivotButton="0" quotePrefix="0" xfId="0">
      <alignment horizontal="right" vertical="center"/>
    </xf>
    <xf numFmtId="0" fontId="13" fillId="3" borderId="0" applyAlignment="1" pivotButton="0" quotePrefix="0" xfId="0">
      <alignment horizontal="left" vertical="center"/>
    </xf>
    <xf numFmtId="165" fontId="2" fillId="3" borderId="0" applyAlignment="1" pivotButton="0" quotePrefix="0" xfId="0">
      <alignment horizontal="right" vertical="center"/>
    </xf>
    <xf numFmtId="0" fontId="14" fillId="9" borderId="0" applyAlignment="1" pivotButton="0" quotePrefix="0" xfId="0">
      <alignment horizontal="left" vertical="center"/>
    </xf>
    <xf numFmtId="164" fontId="8" fillId="9" borderId="1" applyAlignment="1" pivotButton="0" quotePrefix="0" xfId="0">
      <alignment horizontal="right" vertical="center"/>
    </xf>
    <xf numFmtId="164" fontId="8" fillId="9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9" fillId="8" borderId="3" applyAlignment="1" pivotButton="0" quotePrefix="0" xfId="0">
      <alignment horizontal="right" vertical="center"/>
    </xf>
    <xf numFmtId="165" fontId="9" fillId="8" borderId="0" applyAlignment="1" pivotButton="0" quotePrefix="0" xfId="0">
      <alignment horizontal="right" vertical="center"/>
    </xf>
    <xf numFmtId="164" fontId="8" fillId="4" borderId="1" applyAlignment="1" pivotButton="0" quotePrefix="0" xfId="0">
      <alignment horizontal="left" vertical="center"/>
    </xf>
    <xf numFmtId="1" fontId="3" fillId="4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14" fillId="4" borderId="0" applyAlignment="1" pivotButton="0" quotePrefix="0" xfId="0">
      <alignment horizontal="left" vertical="center"/>
    </xf>
    <xf numFmtId="0" fontId="11" fillId="10" borderId="0" applyAlignment="1" pivotButton="0" quotePrefix="0" xfId="0">
      <alignment horizontal="center" vertical="center"/>
    </xf>
    <xf numFmtId="164" fontId="15" fillId="4" borderId="2" applyAlignment="1" pivotButton="0" quotePrefix="0" xfId="0">
      <alignment horizontal="right" vertical="center"/>
    </xf>
    <xf numFmtId="164" fontId="16" fillId="9" borderId="1" applyAlignment="1" pivotButton="0" quotePrefix="0" xfId="0">
      <alignment horizontal="right" vertical="center"/>
    </xf>
    <xf numFmtId="0" fontId="17" fillId="5" borderId="0" applyAlignment="1" pivotButton="0" quotePrefix="0" xfId="0">
      <alignment horizontal="left" vertical="center"/>
    </xf>
    <xf numFmtId="165" fontId="15" fillId="5" borderId="2" applyAlignment="1" pivotButton="0" quotePrefix="0" xfId="0">
      <alignment horizontal="right" vertical="center"/>
    </xf>
    <xf numFmtId="165" fontId="16" fillId="9" borderId="1" applyAlignment="1" pivotButton="0" quotePrefix="0" xfId="0">
      <alignment horizontal="right" vertical="center"/>
    </xf>
    <xf numFmtId="0" fontId="17" fillId="4" borderId="0" applyAlignment="1" pivotButton="0" quotePrefix="0" xfId="0">
      <alignment horizontal="left" vertical="center"/>
    </xf>
    <xf numFmtId="165" fontId="15" fillId="4" borderId="2" applyAlignment="1" pivotButton="0" quotePrefix="0" xfId="0">
      <alignment horizontal="right" vertical="center"/>
    </xf>
    <xf numFmtId="164" fontId="15" fillId="5" borderId="2" applyAlignment="1" pivotButton="0" quotePrefix="0" xfId="0">
      <alignment horizontal="right" vertical="center"/>
    </xf>
    <xf numFmtId="0" fontId="18" fillId="4" borderId="0" applyAlignment="1" pivotButton="0" quotePrefix="0" xfId="0">
      <alignment horizontal="left" vertical="center"/>
    </xf>
    <xf numFmtId="0" fontId="19" fillId="4" borderId="0" applyAlignment="1" pivotButton="0" quotePrefix="0" xfId="0">
      <alignment horizontal="left" vertical="center"/>
    </xf>
    <xf numFmtId="0" fontId="20" fillId="4" borderId="0" applyAlignment="1" pivotButton="0" quotePrefix="0" xfId="0">
      <alignment horizontal="left" vertical="center"/>
    </xf>
    <xf numFmtId="0" fontId="21" fillId="10" borderId="0" applyAlignment="1" pivotButton="0" quotePrefix="0" xfId="0">
      <alignment horizontal="left" vertical="center"/>
    </xf>
    <xf numFmtId="0" fontId="18" fillId="3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5"/>
  <sheetViews>
    <sheetView workbookViewId="0">
      <pane xSplit="1" ySplit="6" topLeftCell="B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4" customWidth="1" min="15" max="15"/>
    <col width="15" customWidth="1" min="16" max="16"/>
  </cols>
  <sheetData>
    <row r="1" ht="30" customHeight="1">
      <c r="A1" s="1" t="inlineStr">
        <is>
          <t>MED SPA PROFIT &amp; LOSS STATEMENT</t>
        </is>
      </c>
    </row>
    <row r="2">
      <c r="A2" s="2" t="inlineStr">
        <is>
          <t>Practice Name:</t>
        </is>
      </c>
      <c r="E2" s="3" t="inlineStr"/>
      <c r="I2" s="2" t="inlineStr">
        <is>
          <t>Year:</t>
        </is>
      </c>
      <c r="K2" s="4" t="inlineStr">
        <is>
          <t>2025</t>
        </is>
      </c>
    </row>
    <row r="3">
      <c r="A3" s="5" t="inlineStr">
        <is>
          <t xml:space="preserve">  ⚪ Blue text = enter your data   ⚫ Black text = formula (do not edit)</t>
        </is>
      </c>
    </row>
    <row r="4" ht="6" customHeight="1"/>
    <row r="5" ht="22" customHeight="1">
      <c r="A5" s="6" t="inlineStr">
        <is>
          <t>CATEGORY</t>
        </is>
      </c>
      <c r="B5" s="6" t="inlineStr">
        <is>
          <t>Jan</t>
        </is>
      </c>
      <c r="C5" s="6" t="inlineStr">
        <is>
          <t>Feb</t>
        </is>
      </c>
      <c r="D5" s="6" t="inlineStr">
        <is>
          <t>Mar</t>
        </is>
      </c>
      <c r="E5" s="6" t="inlineStr">
        <is>
          <t>Apr</t>
        </is>
      </c>
      <c r="F5" s="6" t="inlineStr">
        <is>
          <t>May</t>
        </is>
      </c>
      <c r="G5" s="6" t="inlineStr">
        <is>
          <t>Jun</t>
        </is>
      </c>
      <c r="H5" s="6" t="inlineStr">
        <is>
          <t>Jul</t>
        </is>
      </c>
      <c r="I5" s="6" t="inlineStr">
        <is>
          <t>Aug</t>
        </is>
      </c>
      <c r="J5" s="6" t="inlineStr">
        <is>
          <t>Sep</t>
        </is>
      </c>
      <c r="K5" s="6" t="inlineStr">
        <is>
          <t>Oct</t>
        </is>
      </c>
      <c r="L5" s="6" t="inlineStr">
        <is>
          <t>Nov</t>
        </is>
      </c>
      <c r="M5" s="6" t="inlineStr">
        <is>
          <t>Dec</t>
        </is>
      </c>
      <c r="N5" s="6" t="inlineStr">
        <is>
          <t>ANNUAL TOTAL</t>
        </is>
      </c>
      <c r="O5" s="6" t="inlineStr">
        <is>
          <t>MONTHLY AVG</t>
        </is>
      </c>
      <c r="P5" s="6" t="inlineStr">
        <is>
          <t>BENCHMARK</t>
        </is>
      </c>
    </row>
    <row r="6" ht="6" customHeight="1"/>
    <row r="7" ht="20" customHeight="1">
      <c r="A7" s="7" t="inlineStr">
        <is>
          <t>REVENUE</t>
        </is>
      </c>
      <c r="B7" s="8" t="n"/>
      <c r="C7" s="8" t="n"/>
      <c r="D7" s="8" t="n"/>
      <c r="E7" s="8" t="n"/>
      <c r="F7" s="8" t="n"/>
      <c r="G7" s="8" t="n"/>
      <c r="H7" s="8" t="n"/>
      <c r="I7" s="8" t="n"/>
      <c r="J7" s="8" t="n"/>
      <c r="K7" s="8" t="n"/>
      <c r="L7" s="8" t="n"/>
      <c r="M7" s="8" t="n"/>
      <c r="N7" s="8" t="n"/>
      <c r="O7" s="8" t="n"/>
      <c r="P7" s="8" t="n"/>
    </row>
    <row r="8">
      <c r="A8" s="9" t="inlineStr">
        <is>
          <t xml:space="preserve">   Injectable Revenue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>
        <f>SUM(B8:M8)</f>
        <v/>
      </c>
      <c r="O8" s="11">
        <f>IF(N8=0,"-",N8/12)</f>
        <v/>
      </c>
    </row>
    <row r="9">
      <c r="A9" s="9" t="inlineStr">
        <is>
          <t xml:space="preserve">   Energy-Based Device Revenue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>
        <f>SUM(B9:M9)</f>
        <v/>
      </c>
      <c r="O9" s="11">
        <f>IF(N9=0,"-",N9/12)</f>
        <v/>
      </c>
    </row>
    <row r="10">
      <c r="A10" s="9" t="inlineStr">
        <is>
          <t xml:space="preserve">   Esthetic Services Revenue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>
        <f>SUM(B10:M10)</f>
        <v/>
      </c>
      <c r="O10" s="11">
        <f>IF(N10=0,"-",N10/12)</f>
        <v/>
      </c>
    </row>
    <row r="11">
      <c r="A11" s="9" t="inlineStr">
        <is>
          <t xml:space="preserve">   Wellness Services Revenue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>
        <f>SUM(B11:M11)</f>
        <v/>
      </c>
      <c r="O11" s="11">
        <f>IF(N11=0,"-",N11/12)</f>
        <v/>
      </c>
    </row>
    <row r="12">
      <c r="A12" s="9" t="inlineStr">
        <is>
          <t xml:space="preserve">   Retail Sales Revenue</t>
        </is>
      </c>
      <c r="B12" s="10" t="n"/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0" t="n"/>
      <c r="M12" s="10" t="n"/>
      <c r="N12" s="11">
        <f>SUM(B12:M12)</f>
        <v/>
      </c>
      <c r="O12" s="11">
        <f>IF(N12=0,"-",N12/12)</f>
        <v/>
      </c>
    </row>
    <row r="13">
      <c r="A13" s="9" t="inlineStr">
        <is>
          <t xml:space="preserve">   Membership Revenue</t>
        </is>
      </c>
      <c r="B13" s="10" t="n"/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0" t="n"/>
      <c r="M13" s="10" t="n"/>
      <c r="N13" s="11">
        <f>SUM(B13:M13)</f>
        <v/>
      </c>
      <c r="O13" s="11">
        <f>IF(N13=0,"-",N13/12)</f>
        <v/>
      </c>
    </row>
    <row r="14">
      <c r="A14" s="9" t="inlineStr">
        <is>
          <t xml:space="preserve">   Other Revenue</t>
        </is>
      </c>
      <c r="B14" s="10" t="n"/>
      <c r="C14" s="10" t="n"/>
      <c r="D14" s="10" t="n"/>
      <c r="E14" s="10" t="n"/>
      <c r="F14" s="10" t="n"/>
      <c r="G14" s="10" t="n"/>
      <c r="H14" s="10" t="n"/>
      <c r="I14" s="10" t="n"/>
      <c r="J14" s="10" t="n"/>
      <c r="K14" s="10" t="n"/>
      <c r="L14" s="10" t="n"/>
      <c r="M14" s="10" t="n"/>
      <c r="N14" s="11">
        <f>SUM(B14:M14)</f>
        <v/>
      </c>
      <c r="O14" s="11">
        <f>IF(N14=0,"-",N14/12)</f>
        <v/>
      </c>
    </row>
    <row r="15" ht="22" customHeight="1">
      <c r="A15" s="7" t="inlineStr">
        <is>
          <t>TOTAL REVENUE</t>
        </is>
      </c>
      <c r="B15" s="12">
        <f>SUM(B8:B14)</f>
        <v/>
      </c>
      <c r="C15" s="12">
        <f>SUM(C8:C14)</f>
        <v/>
      </c>
      <c r="D15" s="12">
        <f>SUM(D8:D14)</f>
        <v/>
      </c>
      <c r="E15" s="12">
        <f>SUM(E8:E14)</f>
        <v/>
      </c>
      <c r="F15" s="12">
        <f>SUM(F8:F14)</f>
        <v/>
      </c>
      <c r="G15" s="12">
        <f>SUM(G8:G14)</f>
        <v/>
      </c>
      <c r="H15" s="12">
        <f>SUM(H8:H14)</f>
        <v/>
      </c>
      <c r="I15" s="12">
        <f>SUM(I8:I14)</f>
        <v/>
      </c>
      <c r="J15" s="12">
        <f>SUM(J8:J14)</f>
        <v/>
      </c>
      <c r="K15" s="12">
        <f>SUM(K8:K14)</f>
        <v/>
      </c>
      <c r="L15" s="12">
        <f>SUM(L8:L14)</f>
        <v/>
      </c>
      <c r="M15" s="12">
        <f>SUM(M8:M14)</f>
        <v/>
      </c>
      <c r="N15" s="13">
        <f>SUM(B15:M15)</f>
        <v/>
      </c>
      <c r="O15" s="13">
        <f>IF(N15=0,"-",N15/12)</f>
        <v/>
      </c>
    </row>
    <row r="16" ht="6" customHeight="1"/>
    <row r="17" ht="20" customHeight="1">
      <c r="A17" s="7" t="inlineStr">
        <is>
          <t>COST OF GOODS SOLD (COGS)</t>
        </is>
      </c>
      <c r="B17" s="8" t="n"/>
      <c r="C17" s="8" t="n"/>
      <c r="D17" s="8" t="n"/>
      <c r="E17" s="8" t="n"/>
      <c r="F17" s="8" t="n"/>
      <c r="G17" s="8" t="n"/>
      <c r="H17" s="8" t="n"/>
      <c r="I17" s="8" t="n"/>
      <c r="J17" s="8" t="n"/>
      <c r="K17" s="8" t="n"/>
      <c r="L17" s="8" t="n"/>
      <c r="M17" s="8" t="n"/>
      <c r="N17" s="8" t="n"/>
      <c r="O17" s="8" t="n"/>
      <c r="P17" s="8" t="n"/>
    </row>
    <row r="18">
      <c r="A18" s="14" t="inlineStr">
        <is>
          <t xml:space="preserve">   Injectable Costs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1">
        <f>SUM(B18:M18)</f>
        <v/>
      </c>
      <c r="O18" s="11">
        <f>IF(N18=0,"-",N18/12)</f>
        <v/>
      </c>
    </row>
    <row r="19">
      <c r="A19" s="14" t="inlineStr">
        <is>
          <t xml:space="preserve">   Device Consumables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1">
        <f>SUM(B19:M19)</f>
        <v/>
      </c>
      <c r="O19" s="11">
        <f>IF(N19=0,"-",N19/12)</f>
        <v/>
      </c>
    </row>
    <row r="20">
      <c r="A20" s="14" t="inlineStr">
        <is>
          <t xml:space="preserve">   Retail Product Costs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1">
        <f>SUM(B20:M20)</f>
        <v/>
      </c>
      <c r="O20" s="11">
        <f>IF(N20=0,"-",N20/12)</f>
        <v/>
      </c>
    </row>
    <row r="21">
      <c r="A21" s="14" t="inlineStr">
        <is>
          <t xml:space="preserve">   Medical Supplies</t>
        </is>
      </c>
      <c r="B21" s="15" t="n"/>
      <c r="C21" s="15" t="n"/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1">
        <f>SUM(B21:M21)</f>
        <v/>
      </c>
      <c r="O21" s="11">
        <f>IF(N21=0,"-",N21/12)</f>
        <v/>
      </c>
    </row>
    <row r="22" ht="22" customHeight="1">
      <c r="A22" s="7" t="inlineStr">
        <is>
          <t>TOTAL COGS</t>
        </is>
      </c>
      <c r="B22" s="12">
        <f>SUM(B18:B21)</f>
        <v/>
      </c>
      <c r="C22" s="12">
        <f>SUM(C18:C21)</f>
        <v/>
      </c>
      <c r="D22" s="12">
        <f>SUM(D18:D21)</f>
        <v/>
      </c>
      <c r="E22" s="12">
        <f>SUM(E18:E21)</f>
        <v/>
      </c>
      <c r="F22" s="12">
        <f>SUM(F18:F21)</f>
        <v/>
      </c>
      <c r="G22" s="12">
        <f>SUM(G18:G21)</f>
        <v/>
      </c>
      <c r="H22" s="12">
        <f>SUM(H18:H21)</f>
        <v/>
      </c>
      <c r="I22" s="12">
        <f>SUM(I18:I21)</f>
        <v/>
      </c>
      <c r="J22" s="12">
        <f>SUM(J18:J21)</f>
        <v/>
      </c>
      <c r="K22" s="12">
        <f>SUM(K18:K21)</f>
        <v/>
      </c>
      <c r="L22" s="12">
        <f>SUM(L18:L21)</f>
        <v/>
      </c>
      <c r="M22" s="12">
        <f>SUM(M18:M21)</f>
        <v/>
      </c>
      <c r="N22" s="13">
        <f>SUM(B22:M22)</f>
        <v/>
      </c>
      <c r="O22" s="13">
        <f>IF(N22=0,"-",N22/12)</f>
        <v/>
      </c>
    </row>
    <row r="23" ht="6" customHeight="1"/>
    <row r="24" ht="22" customHeight="1">
      <c r="A24" s="16" t="inlineStr">
        <is>
          <t>GROSS PROFIT</t>
        </is>
      </c>
      <c r="B24" s="17">
        <f>B15-B22</f>
        <v/>
      </c>
      <c r="C24" s="17">
        <f>C15-C22</f>
        <v/>
      </c>
      <c r="D24" s="17">
        <f>D15-D22</f>
        <v/>
      </c>
      <c r="E24" s="17">
        <f>E15-E22</f>
        <v/>
      </c>
      <c r="F24" s="17">
        <f>F15-F22</f>
        <v/>
      </c>
      <c r="G24" s="17">
        <f>G15-G22</f>
        <v/>
      </c>
      <c r="H24" s="17">
        <f>H15-H22</f>
        <v/>
      </c>
      <c r="I24" s="17">
        <f>I15-I22</f>
        <v/>
      </c>
      <c r="J24" s="17">
        <f>J15-J22</f>
        <v/>
      </c>
      <c r="K24" s="17">
        <f>K15-K22</f>
        <v/>
      </c>
      <c r="L24" s="17">
        <f>L15-L22</f>
        <v/>
      </c>
      <c r="M24" s="17">
        <f>M15-M22</f>
        <v/>
      </c>
      <c r="N24" s="18">
        <f>SUM(B24:M24)</f>
        <v/>
      </c>
      <c r="O24" s="18">
        <f>IF(N24=0,"-",N24/12)</f>
        <v/>
      </c>
    </row>
    <row r="25">
      <c r="A25" s="19" t="inlineStr">
        <is>
          <t xml:space="preserve">   Gross Margin %</t>
        </is>
      </c>
      <c r="B25" s="20">
        <f>IF(B15=0,"-",B24/B15)</f>
        <v/>
      </c>
      <c r="C25" s="20">
        <f>IF(C15=0,"-",C24/C15)</f>
        <v/>
      </c>
      <c r="D25" s="20">
        <f>IF(D15=0,"-",D24/D15)</f>
        <v/>
      </c>
      <c r="E25" s="20">
        <f>IF(E15=0,"-",E24/E15)</f>
        <v/>
      </c>
      <c r="F25" s="20">
        <f>IF(F15=0,"-",F24/F15)</f>
        <v/>
      </c>
      <c r="G25" s="20">
        <f>IF(G15=0,"-",G24/G15)</f>
        <v/>
      </c>
      <c r="H25" s="20">
        <f>IF(H15=0,"-",H24/H15)</f>
        <v/>
      </c>
      <c r="I25" s="20">
        <f>IF(I15=0,"-",I24/I15)</f>
        <v/>
      </c>
      <c r="J25" s="20">
        <f>IF(J15=0,"-",J24/J15)</f>
        <v/>
      </c>
      <c r="K25" s="20">
        <f>IF(K15=0,"-",K24/K15)</f>
        <v/>
      </c>
      <c r="L25" s="20">
        <f>IF(L15=0,"-",L24/L15)</f>
        <v/>
      </c>
      <c r="M25" s="20">
        <f>IF(M15=0,"-",M24/M15)</f>
        <v/>
      </c>
      <c r="N25" s="20">
        <f>IF(N15=0,"-",N24/N15)</f>
        <v/>
      </c>
      <c r="P25" s="21" t="inlineStr">
        <is>
          <t>Goal: 70–80%</t>
        </is>
      </c>
    </row>
    <row r="26" ht="8" customHeight="1"/>
    <row r="27" ht="20" customHeight="1">
      <c r="A27" s="7" t="inlineStr">
        <is>
          <t>PAYROLL</t>
        </is>
      </c>
      <c r="B27" s="8" t="n"/>
      <c r="C27" s="8" t="n"/>
      <c r="D27" s="8" t="n"/>
      <c r="E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  <c r="P27" s="8" t="n"/>
    </row>
    <row r="28">
      <c r="A28" s="9" t="inlineStr">
        <is>
          <t xml:space="preserve">   Provider Compensation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1">
        <f>SUM(B28:M28)</f>
        <v/>
      </c>
    </row>
    <row r="29">
      <c r="A29" s="9" t="inlineStr">
        <is>
          <t xml:space="preserve">   Administrative Staff</t>
        </is>
      </c>
      <c r="B29" s="10" t="n"/>
      <c r="C29" s="10" t="n"/>
      <c r="D29" s="10" t="n"/>
      <c r="E29" s="10" t="n"/>
      <c r="F29" s="10" t="n"/>
      <c r="G29" s="10" t="n"/>
      <c r="H29" s="10" t="n"/>
      <c r="I29" s="10" t="n"/>
      <c r="J29" s="10" t="n"/>
      <c r="K29" s="10" t="n"/>
      <c r="L29" s="10" t="n"/>
      <c r="M29" s="10" t="n"/>
      <c r="N29" s="11">
        <f>SUM(B29:M29)</f>
        <v/>
      </c>
    </row>
    <row r="30">
      <c r="A30" s="9" t="inlineStr">
        <is>
          <t xml:space="preserve">   Payroll Taxes</t>
        </is>
      </c>
      <c r="B30" s="10" t="n"/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0" t="n"/>
      <c r="M30" s="10" t="n"/>
      <c r="N30" s="11">
        <f>SUM(B30:M30)</f>
        <v/>
      </c>
    </row>
    <row r="31">
      <c r="A31" s="9" t="inlineStr">
        <is>
          <t xml:space="preserve">   Benefits</t>
        </is>
      </c>
      <c r="B31" s="10" t="n"/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0" t="n"/>
      <c r="M31" s="10" t="n"/>
      <c r="N31" s="11">
        <f>SUM(B31:M31)</f>
        <v/>
      </c>
    </row>
    <row r="32" ht="22" customHeight="1">
      <c r="A32" s="7" t="inlineStr">
        <is>
          <t>TOTAL PAYROLL</t>
        </is>
      </c>
      <c r="B32" s="12">
        <f>SUM(B28:B31)</f>
        <v/>
      </c>
      <c r="C32" s="12">
        <f>SUM(C28:C31)</f>
        <v/>
      </c>
      <c r="D32" s="12">
        <f>SUM(D28:D31)</f>
        <v/>
      </c>
      <c r="E32" s="12">
        <f>SUM(E28:E31)</f>
        <v/>
      </c>
      <c r="F32" s="12">
        <f>SUM(F28:F31)</f>
        <v/>
      </c>
      <c r="G32" s="12">
        <f>SUM(G28:G31)</f>
        <v/>
      </c>
      <c r="H32" s="12">
        <f>SUM(H28:H31)</f>
        <v/>
      </c>
      <c r="I32" s="12">
        <f>SUM(I28:I31)</f>
        <v/>
      </c>
      <c r="J32" s="12">
        <f>SUM(J28:J31)</f>
        <v/>
      </c>
      <c r="K32" s="12">
        <f>SUM(K28:K31)</f>
        <v/>
      </c>
      <c r="L32" s="12">
        <f>SUM(L28:L31)</f>
        <v/>
      </c>
      <c r="M32" s="12">
        <f>SUM(M28:M31)</f>
        <v/>
      </c>
      <c r="N32" s="13">
        <f>SUM(B32:M32)</f>
        <v/>
      </c>
    </row>
    <row r="33">
      <c r="A33" s="19" t="inlineStr">
        <is>
          <t xml:space="preserve">   Payroll % of Revenue</t>
        </is>
      </c>
      <c r="B33" s="20">
        <f>IF(B15=0,"-",B32/B15)</f>
        <v/>
      </c>
      <c r="C33" s="20">
        <f>IF(C15=0,"-",C32/C15)</f>
        <v/>
      </c>
      <c r="D33" s="20">
        <f>IF(D15=0,"-",D32/D15)</f>
        <v/>
      </c>
      <c r="E33" s="20">
        <f>IF(E15=0,"-",E32/E15)</f>
        <v/>
      </c>
      <c r="F33" s="20">
        <f>IF(F15=0,"-",F32/F15)</f>
        <v/>
      </c>
      <c r="G33" s="20">
        <f>IF(G15=0,"-",G32/G15)</f>
        <v/>
      </c>
      <c r="H33" s="20">
        <f>IF(H15=0,"-",H32/H15)</f>
        <v/>
      </c>
      <c r="I33" s="20">
        <f>IF(I15=0,"-",I32/I15)</f>
        <v/>
      </c>
      <c r="J33" s="20">
        <f>IF(J15=0,"-",J32/J15)</f>
        <v/>
      </c>
      <c r="K33" s="20">
        <f>IF(K15=0,"-",K32/K15)</f>
        <v/>
      </c>
      <c r="L33" s="20">
        <f>IF(L15=0,"-",L32/L15)</f>
        <v/>
      </c>
      <c r="M33" s="20">
        <f>IF(M15=0,"-",M32/M15)</f>
        <v/>
      </c>
      <c r="N33" s="20">
        <f>IF(N15=0,"-",N32/N15)</f>
        <v/>
      </c>
      <c r="P33" s="21" t="inlineStr">
        <is>
          <t>Goal: 25–35%</t>
        </is>
      </c>
    </row>
    <row r="34" ht="6" customHeight="1"/>
    <row r="35" ht="20" customHeight="1">
      <c r="A35" s="7" t="inlineStr">
        <is>
          <t>MARKETING</t>
        </is>
      </c>
      <c r="B35" s="8" t="n"/>
      <c r="C35" s="8" t="n"/>
      <c r="D35" s="8" t="n"/>
      <c r="E35" s="8" t="n"/>
      <c r="F35" s="8" t="n"/>
      <c r="G35" s="8" t="n"/>
      <c r="H35" s="8" t="n"/>
      <c r="I35" s="8" t="n"/>
      <c r="J35" s="8" t="n"/>
      <c r="K35" s="8" t="n"/>
      <c r="L35" s="8" t="n"/>
      <c r="M35" s="8" t="n"/>
      <c r="N35" s="8" t="n"/>
      <c r="O35" s="8" t="n"/>
      <c r="P35" s="8" t="n"/>
    </row>
    <row r="36">
      <c r="A36" s="14" t="inlineStr">
        <is>
          <t xml:space="preserve">   Digital Advertising (Meta / Google / TikTok)</t>
        </is>
      </c>
      <c r="B36" s="15" t="n"/>
      <c r="C36" s="15" t="n"/>
      <c r="D36" s="15" t="n"/>
      <c r="E36" s="15" t="n"/>
      <c r="F36" s="15" t="n"/>
      <c r="G36" s="15" t="n"/>
      <c r="H36" s="15" t="n"/>
      <c r="I36" s="15" t="n"/>
      <c r="J36" s="15" t="n"/>
      <c r="K36" s="15" t="n"/>
      <c r="L36" s="15" t="n"/>
      <c r="M36" s="15" t="n"/>
      <c r="N36" s="11">
        <f>SUM(B36:M36)</f>
        <v/>
      </c>
    </row>
    <row r="37">
      <c r="A37" s="14" t="inlineStr">
        <is>
          <t xml:space="preserve">   Agency Fees</t>
        </is>
      </c>
      <c r="B37" s="15" t="n"/>
      <c r="C37" s="15" t="n"/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1">
        <f>SUM(B37:M37)</f>
        <v/>
      </c>
    </row>
    <row r="38">
      <c r="A38" s="14" t="inlineStr">
        <is>
          <t xml:space="preserve">   Website &amp; SEO</t>
        </is>
      </c>
      <c r="B38" s="15" t="n"/>
      <c r="C38" s="15" t="n"/>
      <c r="D38" s="15" t="n"/>
      <c r="E38" s="15" t="n"/>
      <c r="F38" s="15" t="n"/>
      <c r="G38" s="15" t="n"/>
      <c r="H38" s="15" t="n"/>
      <c r="I38" s="15" t="n"/>
      <c r="J38" s="15" t="n"/>
      <c r="K38" s="15" t="n"/>
      <c r="L38" s="15" t="n"/>
      <c r="M38" s="15" t="n"/>
      <c r="N38" s="11">
        <f>SUM(B38:M38)</f>
        <v/>
      </c>
    </row>
    <row r="39">
      <c r="A39" s="14" t="inlineStr">
        <is>
          <t xml:space="preserve">   CRM Platforms</t>
        </is>
      </c>
      <c r="B39" s="15" t="n"/>
      <c r="C39" s="15" t="n"/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1">
        <f>SUM(B39:M39)</f>
        <v/>
      </c>
    </row>
    <row r="40">
      <c r="A40" s="14" t="inlineStr">
        <is>
          <t xml:space="preserve">   Photography &amp; Content</t>
        </is>
      </c>
      <c r="B40" s="15" t="n"/>
      <c r="C40" s="15" t="n"/>
      <c r="D40" s="15" t="n"/>
      <c r="E40" s="15" t="n"/>
      <c r="F40" s="15" t="n"/>
      <c r="G40" s="15" t="n"/>
      <c r="H40" s="15" t="n"/>
      <c r="I40" s="15" t="n"/>
      <c r="J40" s="15" t="n"/>
      <c r="K40" s="15" t="n"/>
      <c r="L40" s="15" t="n"/>
      <c r="M40" s="15" t="n"/>
      <c r="N40" s="11">
        <f>SUM(B40:M40)</f>
        <v/>
      </c>
    </row>
    <row r="41">
      <c r="A41" s="14" t="inlineStr">
        <is>
          <t xml:space="preserve">   Print Materials</t>
        </is>
      </c>
      <c r="B41" s="15" t="n"/>
      <c r="C41" s="15" t="n"/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1">
        <f>SUM(B41:M41)</f>
        <v/>
      </c>
    </row>
    <row r="42" ht="22" customHeight="1">
      <c r="A42" s="7" t="inlineStr">
        <is>
          <t>TOTAL MARKETING</t>
        </is>
      </c>
      <c r="B42" s="12">
        <f>SUM(B36:B41)</f>
        <v/>
      </c>
      <c r="C42" s="12">
        <f>SUM(C36:C41)</f>
        <v/>
      </c>
      <c r="D42" s="12">
        <f>SUM(D36:D41)</f>
        <v/>
      </c>
      <c r="E42" s="12">
        <f>SUM(E36:E41)</f>
        <v/>
      </c>
      <c r="F42" s="12">
        <f>SUM(F36:F41)</f>
        <v/>
      </c>
      <c r="G42" s="12">
        <f>SUM(G36:G41)</f>
        <v/>
      </c>
      <c r="H42" s="12">
        <f>SUM(H36:H41)</f>
        <v/>
      </c>
      <c r="I42" s="12">
        <f>SUM(I36:I41)</f>
        <v/>
      </c>
      <c r="J42" s="12">
        <f>SUM(J36:J41)</f>
        <v/>
      </c>
      <c r="K42" s="12">
        <f>SUM(K36:K41)</f>
        <v/>
      </c>
      <c r="L42" s="12">
        <f>SUM(L36:L41)</f>
        <v/>
      </c>
      <c r="M42" s="12">
        <f>SUM(M36:M41)</f>
        <v/>
      </c>
      <c r="N42" s="13">
        <f>SUM(B42:M42)</f>
        <v/>
      </c>
    </row>
    <row r="43">
      <c r="A43" s="19" t="inlineStr">
        <is>
          <t xml:space="preserve">   Marketing % of Revenue</t>
        </is>
      </c>
      <c r="B43" s="20">
        <f>IF(B15=0,"-",B42/B15)</f>
        <v/>
      </c>
      <c r="C43" s="20">
        <f>IF(C15=0,"-",C42/C15)</f>
        <v/>
      </c>
      <c r="D43" s="20">
        <f>IF(D15=0,"-",D42/D15)</f>
        <v/>
      </c>
      <c r="E43" s="20">
        <f>IF(E15=0,"-",E42/E15)</f>
        <v/>
      </c>
      <c r="F43" s="20">
        <f>IF(F15=0,"-",F42/F15)</f>
        <v/>
      </c>
      <c r="G43" s="20">
        <f>IF(G15=0,"-",G42/G15)</f>
        <v/>
      </c>
      <c r="H43" s="20">
        <f>IF(H15=0,"-",H42/H15)</f>
        <v/>
      </c>
      <c r="I43" s="20">
        <f>IF(I15=0,"-",I42/I15)</f>
        <v/>
      </c>
      <c r="J43" s="20">
        <f>IF(J15=0,"-",J42/J15)</f>
        <v/>
      </c>
      <c r="K43" s="20">
        <f>IF(K15=0,"-",K42/K15)</f>
        <v/>
      </c>
      <c r="L43" s="20">
        <f>IF(L15=0,"-",L42/L15)</f>
        <v/>
      </c>
      <c r="M43" s="20">
        <f>IF(M15=0,"-",M42/M15)</f>
        <v/>
      </c>
      <c r="N43" s="20">
        <f>IF(N15=0,"-",N42/N15)</f>
        <v/>
      </c>
      <c r="P43" s="21" t="inlineStr">
        <is>
          <t>Goal: 5–10%</t>
        </is>
      </c>
    </row>
    <row r="44" ht="6" customHeight="1"/>
    <row r="45" ht="20" customHeight="1">
      <c r="A45" s="7" t="inlineStr">
        <is>
          <t>OCCUPANCY</t>
        </is>
      </c>
      <c r="B45" s="8" t="n"/>
      <c r="C45" s="8" t="n"/>
      <c r="D45" s="8" t="n"/>
      <c r="E45" s="8" t="n"/>
      <c r="F45" s="8" t="n"/>
      <c r="G45" s="8" t="n"/>
      <c r="H45" s="8" t="n"/>
      <c r="I45" s="8" t="n"/>
      <c r="J45" s="8" t="n"/>
      <c r="K45" s="8" t="n"/>
      <c r="L45" s="8" t="n"/>
      <c r="M45" s="8" t="n"/>
      <c r="N45" s="8" t="n"/>
      <c r="O45" s="8" t="n"/>
      <c r="P45" s="8" t="n"/>
    </row>
    <row r="46">
      <c r="A46" s="9" t="inlineStr">
        <is>
          <t xml:space="preserve">   Rent</t>
        </is>
      </c>
      <c r="B46" s="10" t="n"/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0" t="n"/>
      <c r="M46" s="10" t="n"/>
      <c r="N46" s="11">
        <f>SUM(B46:M46)</f>
        <v/>
      </c>
    </row>
    <row r="47">
      <c r="A47" s="9" t="inlineStr">
        <is>
          <t xml:space="preserve">   CAM Fees</t>
        </is>
      </c>
      <c r="B47" s="10" t="n"/>
      <c r="C47" s="10" t="n"/>
      <c r="D47" s="10" t="n"/>
      <c r="E47" s="10" t="n"/>
      <c r="F47" s="10" t="n"/>
      <c r="G47" s="10" t="n"/>
      <c r="H47" s="10" t="n"/>
      <c r="I47" s="10" t="n"/>
      <c r="J47" s="10" t="n"/>
      <c r="K47" s="10" t="n"/>
      <c r="L47" s="10" t="n"/>
      <c r="M47" s="10" t="n"/>
      <c r="N47" s="11">
        <f>SUM(B47:M47)</f>
        <v/>
      </c>
    </row>
    <row r="48">
      <c r="A48" s="9" t="inlineStr">
        <is>
          <t xml:space="preserve">   Utilities</t>
        </is>
      </c>
      <c r="B48" s="10" t="n"/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0" t="n"/>
      <c r="M48" s="10" t="n"/>
      <c r="N48" s="11">
        <f>SUM(B48:M48)</f>
        <v/>
      </c>
    </row>
    <row r="49">
      <c r="A49" s="9" t="inlineStr">
        <is>
          <t xml:space="preserve">   Cleaning &amp; Security</t>
        </is>
      </c>
      <c r="B49" s="10" t="n"/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0" t="n"/>
      <c r="M49" s="10" t="n"/>
      <c r="N49" s="11">
        <f>SUM(B49:M49)</f>
        <v/>
      </c>
    </row>
    <row r="50" ht="22" customHeight="1">
      <c r="A50" s="7" t="inlineStr">
        <is>
          <t>TOTAL OCCUPANCY</t>
        </is>
      </c>
      <c r="B50" s="12">
        <f>SUM(B46:B49)</f>
        <v/>
      </c>
      <c r="C50" s="12">
        <f>SUM(C46:C49)</f>
        <v/>
      </c>
      <c r="D50" s="12">
        <f>SUM(D46:D49)</f>
        <v/>
      </c>
      <c r="E50" s="12">
        <f>SUM(E46:E49)</f>
        <v/>
      </c>
      <c r="F50" s="12">
        <f>SUM(F46:F49)</f>
        <v/>
      </c>
      <c r="G50" s="12">
        <f>SUM(G46:G49)</f>
        <v/>
      </c>
      <c r="H50" s="12">
        <f>SUM(H46:H49)</f>
        <v/>
      </c>
      <c r="I50" s="12">
        <f>SUM(I46:I49)</f>
        <v/>
      </c>
      <c r="J50" s="12">
        <f>SUM(J46:J49)</f>
        <v/>
      </c>
      <c r="K50" s="12">
        <f>SUM(K46:K49)</f>
        <v/>
      </c>
      <c r="L50" s="12">
        <f>SUM(L46:L49)</f>
        <v/>
      </c>
      <c r="M50" s="12">
        <f>SUM(M46:M49)</f>
        <v/>
      </c>
      <c r="N50" s="13">
        <f>SUM(B50:M50)</f>
        <v/>
      </c>
    </row>
    <row r="51">
      <c r="A51" s="19" t="inlineStr">
        <is>
          <t xml:space="preserve">   Occupancy % of Revenue</t>
        </is>
      </c>
      <c r="B51" s="20">
        <f>IF(B15=0,"-",B50/B15)</f>
        <v/>
      </c>
      <c r="C51" s="20">
        <f>IF(C15=0,"-",C50/C15)</f>
        <v/>
      </c>
      <c r="D51" s="20">
        <f>IF(D15=0,"-",D50/D15)</f>
        <v/>
      </c>
      <c r="E51" s="20">
        <f>IF(E15=0,"-",E50/E15)</f>
        <v/>
      </c>
      <c r="F51" s="20">
        <f>IF(F15=0,"-",F50/F15)</f>
        <v/>
      </c>
      <c r="G51" s="20">
        <f>IF(G15=0,"-",G50/G15)</f>
        <v/>
      </c>
      <c r="H51" s="20">
        <f>IF(H15=0,"-",H50/H15)</f>
        <v/>
      </c>
      <c r="I51" s="20">
        <f>IF(I15=0,"-",I50/I15)</f>
        <v/>
      </c>
      <c r="J51" s="20">
        <f>IF(J15=0,"-",J50/J15)</f>
        <v/>
      </c>
      <c r="K51" s="20">
        <f>IF(K15=0,"-",K50/K15)</f>
        <v/>
      </c>
      <c r="L51" s="20">
        <f>IF(L15=0,"-",L50/L15)</f>
        <v/>
      </c>
      <c r="M51" s="20">
        <f>IF(M15=0,"-",M50/M15)</f>
        <v/>
      </c>
      <c r="N51" s="20">
        <f>IF(N15=0,"-",N50/N15)</f>
        <v/>
      </c>
      <c r="P51" s="21" t="inlineStr">
        <is>
          <t>Goal: 10–15%</t>
        </is>
      </c>
    </row>
    <row r="52" ht="6" customHeight="1"/>
    <row r="53" ht="20" customHeight="1">
      <c r="A53" s="7" t="inlineStr">
        <is>
          <t>ADMINISTRATIVE</t>
        </is>
      </c>
      <c r="B53" s="8" t="n"/>
      <c r="C53" s="8" t="n"/>
      <c r="D53" s="8" t="n"/>
      <c r="E53" s="8" t="n"/>
      <c r="F53" s="8" t="n"/>
      <c r="G53" s="8" t="n"/>
      <c r="H53" s="8" t="n"/>
      <c r="I53" s="8" t="n"/>
      <c r="J53" s="8" t="n"/>
      <c r="K53" s="8" t="n"/>
      <c r="L53" s="8" t="n"/>
      <c r="M53" s="8" t="n"/>
      <c r="N53" s="8" t="n"/>
      <c r="O53" s="8" t="n"/>
      <c r="P53" s="8" t="n"/>
    </row>
    <row r="54">
      <c r="A54" s="14" t="inlineStr">
        <is>
          <t xml:space="preserve">   Software (EMR, Scheduling, QuickBooks)</t>
        </is>
      </c>
      <c r="B54" s="15" t="n"/>
      <c r="C54" s="15" t="n"/>
      <c r="D54" s="15" t="n"/>
      <c r="E54" s="15" t="n"/>
      <c r="F54" s="15" t="n"/>
      <c r="G54" s="15" t="n"/>
      <c r="H54" s="15" t="n"/>
      <c r="I54" s="15" t="n"/>
      <c r="J54" s="15" t="n"/>
      <c r="K54" s="15" t="n"/>
      <c r="L54" s="15" t="n"/>
      <c r="M54" s="15" t="n"/>
      <c r="N54" s="11">
        <f>SUM(B54:M54)</f>
        <v/>
      </c>
    </row>
    <row r="55">
      <c r="A55" s="14" t="inlineStr">
        <is>
          <t xml:space="preserve">   Merchant Processing Fees</t>
        </is>
      </c>
      <c r="B55" s="15" t="n"/>
      <c r="C55" s="15" t="n"/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1">
        <f>SUM(B55:M55)</f>
        <v/>
      </c>
    </row>
    <row r="56">
      <c r="A56" s="14" t="inlineStr">
        <is>
          <t xml:space="preserve">   Legal &amp; Accounting Fees</t>
        </is>
      </c>
      <c r="B56" s="15" t="n"/>
      <c r="C56" s="15" t="n"/>
      <c r="D56" s="15" t="n"/>
      <c r="E56" s="15" t="n"/>
      <c r="F56" s="15" t="n"/>
      <c r="G56" s="15" t="n"/>
      <c r="H56" s="15" t="n"/>
      <c r="I56" s="15" t="n"/>
      <c r="J56" s="15" t="n"/>
      <c r="K56" s="15" t="n"/>
      <c r="L56" s="15" t="n"/>
      <c r="M56" s="15" t="n"/>
      <c r="N56" s="11">
        <f>SUM(B56:M56)</f>
        <v/>
      </c>
    </row>
    <row r="57">
      <c r="A57" s="14" t="inlineStr">
        <is>
          <t xml:space="preserve">   Insurance</t>
        </is>
      </c>
      <c r="B57" s="15" t="n"/>
      <c r="C57" s="15" t="n"/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1">
        <f>SUM(B57:M57)</f>
        <v/>
      </c>
    </row>
    <row r="58">
      <c r="A58" s="14" t="inlineStr">
        <is>
          <t xml:space="preserve">   Licenses &amp; Permits</t>
        </is>
      </c>
      <c r="B58" s="15" t="n"/>
      <c r="C58" s="15" t="n"/>
      <c r="D58" s="15" t="n"/>
      <c r="E58" s="15" t="n"/>
      <c r="F58" s="15" t="n"/>
      <c r="G58" s="15" t="n"/>
      <c r="H58" s="15" t="n"/>
      <c r="I58" s="15" t="n"/>
      <c r="J58" s="15" t="n"/>
      <c r="K58" s="15" t="n"/>
      <c r="L58" s="15" t="n"/>
      <c r="M58" s="15" t="n"/>
      <c r="N58" s="11">
        <f>SUM(B58:M58)</f>
        <v/>
      </c>
    </row>
    <row r="59">
      <c r="A59" s="14" t="inlineStr">
        <is>
          <t xml:space="preserve">   Office Supplies &amp; Continuing Education</t>
        </is>
      </c>
      <c r="B59" s="15" t="n"/>
      <c r="C59" s="15" t="n"/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1">
        <f>SUM(B59:M59)</f>
        <v/>
      </c>
    </row>
    <row r="60" ht="22" customHeight="1">
      <c r="A60" s="7" t="inlineStr">
        <is>
          <t>TOTAL ADMINISTRATIVE</t>
        </is>
      </c>
      <c r="B60" s="12">
        <f>SUM(B54:B59)</f>
        <v/>
      </c>
      <c r="C60" s="12">
        <f>SUM(C54:C59)</f>
        <v/>
      </c>
      <c r="D60" s="12">
        <f>SUM(D54:D59)</f>
        <v/>
      </c>
      <c r="E60" s="12">
        <f>SUM(E54:E59)</f>
        <v/>
      </c>
      <c r="F60" s="12">
        <f>SUM(F54:F59)</f>
        <v/>
      </c>
      <c r="G60" s="12">
        <f>SUM(G54:G59)</f>
        <v/>
      </c>
      <c r="H60" s="12">
        <f>SUM(H54:H59)</f>
        <v/>
      </c>
      <c r="I60" s="12">
        <f>SUM(I54:I59)</f>
        <v/>
      </c>
      <c r="J60" s="12">
        <f>SUM(J54:J59)</f>
        <v/>
      </c>
      <c r="K60" s="12">
        <f>SUM(K54:K59)</f>
        <v/>
      </c>
      <c r="L60" s="12">
        <f>SUM(L54:L59)</f>
        <v/>
      </c>
      <c r="M60" s="12">
        <f>SUM(M54:M59)</f>
        <v/>
      </c>
      <c r="N60" s="13">
        <f>SUM(B60:M60)</f>
        <v/>
      </c>
    </row>
    <row r="61" ht="6" customHeight="1"/>
    <row r="62" ht="22" customHeight="1">
      <c r="A62" s="22" t="inlineStr">
        <is>
          <t>TOTAL OPERATING EXPENSES</t>
        </is>
      </c>
      <c r="B62" s="23">
        <f>B32+B42+B50+B60</f>
        <v/>
      </c>
      <c r="C62" s="23">
        <f>C32+C42+C50+C60</f>
        <v/>
      </c>
      <c r="D62" s="23">
        <f>D32+D42+D50+D60</f>
        <v/>
      </c>
      <c r="E62" s="23">
        <f>E32+E42+E50+E60</f>
        <v/>
      </c>
      <c r="F62" s="23">
        <f>F32+F42+F50+F60</f>
        <v/>
      </c>
      <c r="G62" s="23">
        <f>G32+G42+G50+G60</f>
        <v/>
      </c>
      <c r="H62" s="23">
        <f>H32+H42+H50+H60</f>
        <v/>
      </c>
      <c r="I62" s="23">
        <f>I32+I42+I50+I60</f>
        <v/>
      </c>
      <c r="J62" s="23">
        <f>J32+J42+J50+J60</f>
        <v/>
      </c>
      <c r="K62" s="23">
        <f>K32+K42+K50+K60</f>
        <v/>
      </c>
      <c r="L62" s="23">
        <f>L32+L42+L50+L60</f>
        <v/>
      </c>
      <c r="M62" s="23">
        <f>M32+M42+M50+M60</f>
        <v/>
      </c>
      <c r="N62" s="24">
        <f>SUM(B62:M62)</f>
        <v/>
      </c>
    </row>
    <row r="63" ht="6" customHeight="1"/>
    <row r="64" ht="26" customHeight="1">
      <c r="A64" s="25" t="inlineStr">
        <is>
          <t>NET OPERATING PROFIT</t>
        </is>
      </c>
      <c r="B64" s="26">
        <f>B24-B62</f>
        <v/>
      </c>
      <c r="C64" s="26">
        <f>C24-C62</f>
        <v/>
      </c>
      <c r="D64" s="26">
        <f>D24-D62</f>
        <v/>
      </c>
      <c r="E64" s="26">
        <f>E24-E62</f>
        <v/>
      </c>
      <c r="F64" s="26">
        <f>F24-F62</f>
        <v/>
      </c>
      <c r="G64" s="26">
        <f>G24-G62</f>
        <v/>
      </c>
      <c r="H64" s="26">
        <f>H24-H62</f>
        <v/>
      </c>
      <c r="I64" s="26">
        <f>I24-I62</f>
        <v/>
      </c>
      <c r="J64" s="26">
        <f>J24-J62</f>
        <v/>
      </c>
      <c r="K64" s="26">
        <f>K24-K62</f>
        <v/>
      </c>
      <c r="L64" s="26">
        <f>L24-L62</f>
        <v/>
      </c>
      <c r="M64" s="26">
        <f>M24-M62</f>
        <v/>
      </c>
      <c r="N64" s="27">
        <f>SUM(B64:M64)</f>
        <v/>
      </c>
      <c r="O64" s="27">
        <f>IF(N64=0,"-",N64/12)</f>
        <v/>
      </c>
    </row>
    <row r="65">
      <c r="A65" s="28" t="inlineStr">
        <is>
          <t xml:space="preserve">   Net Profit %</t>
        </is>
      </c>
      <c r="B65" s="29">
        <f>IF(B15=0,"-",B64/B15)</f>
        <v/>
      </c>
      <c r="C65" s="29">
        <f>IF(C15=0,"-",C64/C15)</f>
        <v/>
      </c>
      <c r="D65" s="29">
        <f>IF(D15=0,"-",D64/D15)</f>
        <v/>
      </c>
      <c r="E65" s="29">
        <f>IF(E15=0,"-",E64/E15)</f>
        <v/>
      </c>
      <c r="F65" s="29">
        <f>IF(F15=0,"-",F64/F15)</f>
        <v/>
      </c>
      <c r="G65" s="29">
        <f>IF(G15=0,"-",G64/G15)</f>
        <v/>
      </c>
      <c r="H65" s="29">
        <f>IF(H15=0,"-",H64/H15)</f>
        <v/>
      </c>
      <c r="I65" s="29">
        <f>IF(I15=0,"-",I64/I15)</f>
        <v/>
      </c>
      <c r="J65" s="29">
        <f>IF(J15=0,"-",J64/J15)</f>
        <v/>
      </c>
      <c r="K65" s="29">
        <f>IF(K15=0,"-",K64/K15)</f>
        <v/>
      </c>
      <c r="L65" s="29">
        <f>IF(L15=0,"-",L64/L15)</f>
        <v/>
      </c>
      <c r="M65" s="29">
        <f>IF(M15=0,"-",M64/M15)</f>
        <v/>
      </c>
      <c r="N65" s="29">
        <f>IF(N15=0,"-",N64/N15)</f>
        <v/>
      </c>
      <c r="P65" s="21" t="inlineStr">
        <is>
          <t>Goal: 15–30%</t>
        </is>
      </c>
    </row>
  </sheetData>
  <mergeCells count="6">
    <mergeCell ref="A1:P1"/>
    <mergeCell ref="K2:L2"/>
    <mergeCell ref="I2:J2"/>
    <mergeCell ref="A2:D2"/>
    <mergeCell ref="A3:P3"/>
    <mergeCell ref="E2:H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</cols>
  <sheetData>
    <row r="1" ht="30" customHeight="1">
      <c r="A1" s="1" t="inlineStr">
        <is>
          <t>REVENUE BY SERVICE</t>
        </is>
      </c>
    </row>
    <row r="2">
      <c r="A2" s="5" t="inlineStr">
        <is>
          <t xml:space="preserve">  Enter amounts in each service line. Totals reconcile to Monthly P&amp;L tab.</t>
        </is>
      </c>
    </row>
    <row r="3" ht="6" customHeight="1"/>
    <row r="4" ht="22" customHeight="1">
      <c r="A4" s="6" t="inlineStr">
        <is>
          <t>SERVICE / CATEGORY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ANNUAL TOTAL</t>
        </is>
      </c>
    </row>
    <row r="5" ht="6" customHeight="1"/>
    <row r="6" ht="20" customHeight="1">
      <c r="A6" s="7" t="inlineStr">
        <is>
          <t>INJECTABLES</t>
        </is>
      </c>
      <c r="B6" s="8" t="n"/>
      <c r="C6" s="8" t="n"/>
      <c r="D6" s="8" t="n"/>
      <c r="E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</row>
    <row r="7">
      <c r="A7" s="9" t="inlineStr">
        <is>
          <t xml:space="preserve">   Botox / Nuceiva</t>
        </is>
      </c>
      <c r="B7" s="10" t="n"/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0" t="n"/>
      <c r="M7" s="10" t="n"/>
      <c r="N7" s="11">
        <f>SUM(B7:M7)</f>
        <v/>
      </c>
    </row>
    <row r="8">
      <c r="A8" s="9" t="inlineStr">
        <is>
          <t xml:space="preserve">   Dysport / Xeomin / Daxxify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>
        <f>SUM(B8:M8)</f>
        <v/>
      </c>
    </row>
    <row r="9">
      <c r="A9" s="9" t="inlineStr">
        <is>
          <t xml:space="preserve">   Dermal Fillers</t>
        </is>
      </c>
      <c r="B9" s="10" t="n"/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0" t="n"/>
      <c r="M9" s="10" t="n"/>
      <c r="N9" s="11">
        <f>SUM(B9:M9)</f>
        <v/>
      </c>
    </row>
    <row r="10">
      <c r="A10" s="9" t="inlineStr">
        <is>
          <t xml:space="preserve">   Sculptra / Radiesse</t>
        </is>
      </c>
      <c r="B10" s="10" t="n"/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0" t="n"/>
      <c r="M10" s="10" t="n"/>
      <c r="N10" s="11">
        <f>SUM(B10:M10)</f>
        <v/>
      </c>
    </row>
    <row r="11">
      <c r="A11" s="9" t="inlineStr">
        <is>
          <t xml:space="preserve">   PRF / PRP</t>
        </is>
      </c>
      <c r="B11" s="10" t="n"/>
      <c r="C11" s="10" t="n"/>
      <c r="D11" s="10" t="n"/>
      <c r="E11" s="10" t="n"/>
      <c r="F11" s="10" t="n"/>
      <c r="G11" s="10" t="n"/>
      <c r="H11" s="10" t="n"/>
      <c r="I11" s="10" t="n"/>
      <c r="J11" s="10" t="n"/>
      <c r="K11" s="10" t="n"/>
      <c r="L11" s="10" t="n"/>
      <c r="M11" s="10" t="n"/>
      <c r="N11" s="11">
        <f>SUM(B11:M11)</f>
        <v/>
      </c>
    </row>
    <row r="12" ht="22" customHeight="1">
      <c r="A12" s="30" t="inlineStr">
        <is>
          <t xml:space="preserve">   INJECTABLES TOTAL</t>
        </is>
      </c>
      <c r="B12" s="31">
        <f>SUM(B7:B11)</f>
        <v/>
      </c>
      <c r="C12" s="31">
        <f>SUM(C7:C11)</f>
        <v/>
      </c>
      <c r="D12" s="31">
        <f>SUM(D7:D11)</f>
        <v/>
      </c>
      <c r="E12" s="31">
        <f>SUM(E7:E11)</f>
        <v/>
      </c>
      <c r="F12" s="31">
        <f>SUM(F7:F11)</f>
        <v/>
      </c>
      <c r="G12" s="31">
        <f>SUM(G7:G11)</f>
        <v/>
      </c>
      <c r="H12" s="31">
        <f>SUM(H7:H11)</f>
        <v/>
      </c>
      <c r="I12" s="31">
        <f>SUM(I7:I11)</f>
        <v/>
      </c>
      <c r="J12" s="31">
        <f>SUM(J7:J11)</f>
        <v/>
      </c>
      <c r="K12" s="31">
        <f>SUM(K7:K11)</f>
        <v/>
      </c>
      <c r="L12" s="31">
        <f>SUM(L7:L11)</f>
        <v/>
      </c>
      <c r="M12" s="31">
        <f>SUM(M7:M11)</f>
        <v/>
      </c>
      <c r="N12" s="32">
        <f>SUM(N7:N11)</f>
        <v/>
      </c>
    </row>
    <row r="13" ht="6" customHeight="1"/>
    <row r="14" ht="20" customHeight="1">
      <c r="A14" s="7" t="inlineStr">
        <is>
          <t>ENERGY-BASED DEVICES</t>
        </is>
      </c>
      <c r="B14" s="8" t="n"/>
      <c r="C14" s="8" t="n"/>
      <c r="D14" s="8" t="n"/>
      <c r="E14" s="8" t="n"/>
      <c r="F14" s="8" t="n"/>
      <c r="G14" s="8" t="n"/>
      <c r="H14" s="8" t="n"/>
      <c r="I14" s="8" t="n"/>
      <c r="J14" s="8" t="n"/>
      <c r="K14" s="8" t="n"/>
      <c r="L14" s="8" t="n"/>
      <c r="M14" s="8" t="n"/>
      <c r="N14" s="8" t="n"/>
    </row>
    <row r="15">
      <c r="A15" s="14" t="inlineStr">
        <is>
          <t xml:space="preserve">   Morpheus8</t>
        </is>
      </c>
      <c r="B15" s="15" t="n"/>
      <c r="C15" s="15" t="n"/>
      <c r="D15" s="15" t="n"/>
      <c r="E15" s="15" t="n"/>
      <c r="F15" s="15" t="n"/>
      <c r="G15" s="15" t="n"/>
      <c r="H15" s="15" t="n"/>
      <c r="I15" s="15" t="n"/>
      <c r="J15" s="15" t="n"/>
      <c r="K15" s="15" t="n"/>
      <c r="L15" s="15" t="n"/>
      <c r="M15" s="15" t="n"/>
      <c r="N15" s="11">
        <f>SUM(B15:M15)</f>
        <v/>
      </c>
    </row>
    <row r="16">
      <c r="A16" s="14" t="inlineStr">
        <is>
          <t xml:space="preserve">   Lumecca (IPL)</t>
        </is>
      </c>
      <c r="B16" s="15" t="n"/>
      <c r="C16" s="15" t="n"/>
      <c r="D16" s="15" t="n"/>
      <c r="E16" s="15" t="n"/>
      <c r="F16" s="15" t="n"/>
      <c r="G16" s="15" t="n"/>
      <c r="H16" s="15" t="n"/>
      <c r="I16" s="15" t="n"/>
      <c r="J16" s="15" t="n"/>
      <c r="K16" s="15" t="n"/>
      <c r="L16" s="15" t="n"/>
      <c r="M16" s="15" t="n"/>
      <c r="N16" s="11">
        <f>SUM(B16:M16)</f>
        <v/>
      </c>
    </row>
    <row r="17">
      <c r="A17" s="14" t="inlineStr">
        <is>
          <t xml:space="preserve">   Forma (RF)</t>
        </is>
      </c>
      <c r="B17" s="15" t="n"/>
      <c r="C17" s="15" t="n"/>
      <c r="D17" s="15" t="n"/>
      <c r="E17" s="15" t="n"/>
      <c r="F17" s="15" t="n"/>
      <c r="G17" s="15" t="n"/>
      <c r="H17" s="15" t="n"/>
      <c r="I17" s="15" t="n"/>
      <c r="J17" s="15" t="n"/>
      <c r="K17" s="15" t="n"/>
      <c r="L17" s="15" t="n"/>
      <c r="M17" s="15" t="n"/>
      <c r="N17" s="11">
        <f>SUM(B17:M17)</f>
        <v/>
      </c>
    </row>
    <row r="18">
      <c r="A18" s="14" t="inlineStr">
        <is>
          <t xml:space="preserve">   Diolaze (Laser Hair Removal)</t>
        </is>
      </c>
      <c r="B18" s="15" t="n"/>
      <c r="C18" s="15" t="n"/>
      <c r="D18" s="15" t="n"/>
      <c r="E18" s="15" t="n"/>
      <c r="F18" s="15" t="n"/>
      <c r="G18" s="15" t="n"/>
      <c r="H18" s="15" t="n"/>
      <c r="I18" s="15" t="n"/>
      <c r="J18" s="15" t="n"/>
      <c r="K18" s="15" t="n"/>
      <c r="L18" s="15" t="n"/>
      <c r="M18" s="15" t="n"/>
      <c r="N18" s="11">
        <f>SUM(B18:M18)</f>
        <v/>
      </c>
    </row>
    <row r="19">
      <c r="A19" s="14" t="inlineStr">
        <is>
          <t xml:space="preserve">   BodyTite / FaceTite</t>
        </is>
      </c>
      <c r="B19" s="15" t="n"/>
      <c r="C19" s="15" t="n"/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1">
        <f>SUM(B19:M19)</f>
        <v/>
      </c>
    </row>
    <row r="20">
      <c r="A20" s="14" t="inlineStr">
        <is>
          <t xml:space="preserve">   Other Devices</t>
        </is>
      </c>
      <c r="B20" s="15" t="n"/>
      <c r="C20" s="15" t="n"/>
      <c r="D20" s="15" t="n"/>
      <c r="E20" s="15" t="n"/>
      <c r="F20" s="15" t="n"/>
      <c r="G20" s="15" t="n"/>
      <c r="H20" s="15" t="n"/>
      <c r="I20" s="15" t="n"/>
      <c r="J20" s="15" t="n"/>
      <c r="K20" s="15" t="n"/>
      <c r="L20" s="15" t="n"/>
      <c r="M20" s="15" t="n"/>
      <c r="N20" s="11">
        <f>SUM(B20:M20)</f>
        <v/>
      </c>
    </row>
    <row r="21" ht="22" customHeight="1">
      <c r="A21" s="30" t="inlineStr">
        <is>
          <t xml:space="preserve">   ENERGY-BASED DEVICES TOTAL</t>
        </is>
      </c>
      <c r="B21" s="31">
        <f>SUM(B15:B20)</f>
        <v/>
      </c>
      <c r="C21" s="31">
        <f>SUM(C15:C20)</f>
        <v/>
      </c>
      <c r="D21" s="31">
        <f>SUM(D15:D20)</f>
        <v/>
      </c>
      <c r="E21" s="31">
        <f>SUM(E15:E20)</f>
        <v/>
      </c>
      <c r="F21" s="31">
        <f>SUM(F15:F20)</f>
        <v/>
      </c>
      <c r="G21" s="31">
        <f>SUM(G15:G20)</f>
        <v/>
      </c>
      <c r="H21" s="31">
        <f>SUM(H15:H20)</f>
        <v/>
      </c>
      <c r="I21" s="31">
        <f>SUM(I15:I20)</f>
        <v/>
      </c>
      <c r="J21" s="31">
        <f>SUM(J15:J20)</f>
        <v/>
      </c>
      <c r="K21" s="31">
        <f>SUM(K15:K20)</f>
        <v/>
      </c>
      <c r="L21" s="31">
        <f>SUM(L15:L20)</f>
        <v/>
      </c>
      <c r="M21" s="31">
        <f>SUM(M15:M20)</f>
        <v/>
      </c>
      <c r="N21" s="32">
        <f>SUM(N15:N20)</f>
        <v/>
      </c>
    </row>
    <row r="22" ht="6" customHeight="1"/>
    <row r="23" ht="20" customHeight="1">
      <c r="A23" s="7" t="inlineStr">
        <is>
          <t>ESTHETIC SERVICES</t>
        </is>
      </c>
      <c r="B23" s="8" t="n"/>
      <c r="C23" s="8" t="n"/>
      <c r="D23" s="8" t="n"/>
      <c r="E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</row>
    <row r="24">
      <c r="A24" s="9" t="inlineStr">
        <is>
          <t xml:space="preserve">   Facials</t>
        </is>
      </c>
      <c r="B24" s="10" t="n"/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0" t="n"/>
      <c r="M24" s="10" t="n"/>
      <c r="N24" s="11">
        <f>SUM(B24:M24)</f>
        <v/>
      </c>
    </row>
    <row r="25">
      <c r="A25" s="9" t="inlineStr">
        <is>
          <t xml:space="preserve">   Chemical Peels</t>
        </is>
      </c>
      <c r="B25" s="10" t="n"/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0" t="n"/>
      <c r="M25" s="10" t="n"/>
      <c r="N25" s="11">
        <f>SUM(B25:M25)</f>
        <v/>
      </c>
    </row>
    <row r="26">
      <c r="A26" s="9" t="inlineStr">
        <is>
          <t xml:space="preserve">   HydraFacial</t>
        </is>
      </c>
      <c r="B26" s="10" t="n"/>
      <c r="C26" s="10" t="n"/>
      <c r="D26" s="10" t="n"/>
      <c r="E26" s="10" t="n"/>
      <c r="F26" s="10" t="n"/>
      <c r="G26" s="10" t="n"/>
      <c r="H26" s="10" t="n"/>
      <c r="I26" s="10" t="n"/>
      <c r="J26" s="10" t="n"/>
      <c r="K26" s="10" t="n"/>
      <c r="L26" s="10" t="n"/>
      <c r="M26" s="10" t="n"/>
      <c r="N26" s="11">
        <f>SUM(B26:M26)</f>
        <v/>
      </c>
    </row>
    <row r="27">
      <c r="A27" s="9" t="inlineStr">
        <is>
          <t xml:space="preserve">   Dermaplaning</t>
        </is>
      </c>
      <c r="B27" s="10" t="n"/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0" t="n"/>
      <c r="M27" s="10" t="n"/>
      <c r="N27" s="11">
        <f>SUM(B27:M27)</f>
        <v/>
      </c>
    </row>
    <row r="28">
      <c r="A28" s="9" t="inlineStr">
        <is>
          <t xml:space="preserve">   Microneedling</t>
        </is>
      </c>
      <c r="B28" s="10" t="n"/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0" t="n"/>
      <c r="M28" s="10" t="n"/>
      <c r="N28" s="11">
        <f>SUM(B28:M28)</f>
        <v/>
      </c>
    </row>
    <row r="29" ht="22" customHeight="1">
      <c r="A29" s="30" t="inlineStr">
        <is>
          <t xml:space="preserve">   ESTHETIC SERVICES TOTAL</t>
        </is>
      </c>
      <c r="B29" s="31">
        <f>SUM(B24:B28)</f>
        <v/>
      </c>
      <c r="C29" s="31">
        <f>SUM(C24:C28)</f>
        <v/>
      </c>
      <c r="D29" s="31">
        <f>SUM(D24:D28)</f>
        <v/>
      </c>
      <c r="E29" s="31">
        <f>SUM(E24:E28)</f>
        <v/>
      </c>
      <c r="F29" s="31">
        <f>SUM(F24:F28)</f>
        <v/>
      </c>
      <c r="G29" s="31">
        <f>SUM(G24:G28)</f>
        <v/>
      </c>
      <c r="H29" s="31">
        <f>SUM(H24:H28)</f>
        <v/>
      </c>
      <c r="I29" s="31">
        <f>SUM(I24:I28)</f>
        <v/>
      </c>
      <c r="J29" s="31">
        <f>SUM(J24:J28)</f>
        <v/>
      </c>
      <c r="K29" s="31">
        <f>SUM(K24:K28)</f>
        <v/>
      </c>
      <c r="L29" s="31">
        <f>SUM(L24:L28)</f>
        <v/>
      </c>
      <c r="M29" s="31">
        <f>SUM(M24:M28)</f>
        <v/>
      </c>
      <c r="N29" s="32">
        <f>SUM(N24:N28)</f>
        <v/>
      </c>
    </row>
    <row r="30" ht="6" customHeight="1"/>
    <row r="31" ht="20" customHeight="1">
      <c r="A31" s="7" t="inlineStr">
        <is>
          <t>WELLNESS SERVICES</t>
        </is>
      </c>
      <c r="B31" s="8" t="n"/>
      <c r="C31" s="8" t="n"/>
      <c r="D31" s="8" t="n"/>
      <c r="E31" s="8" t="n"/>
      <c r="F31" s="8" t="n"/>
      <c r="G31" s="8" t="n"/>
      <c r="H31" s="8" t="n"/>
      <c r="I31" s="8" t="n"/>
      <c r="J31" s="8" t="n"/>
      <c r="K31" s="8" t="n"/>
      <c r="L31" s="8" t="n"/>
      <c r="M31" s="8" t="n"/>
      <c r="N31" s="8" t="n"/>
    </row>
    <row r="32">
      <c r="A32" s="14" t="inlineStr">
        <is>
          <t xml:space="preserve">   Medical Weight Loss</t>
        </is>
      </c>
      <c r="B32" s="15" t="n"/>
      <c r="C32" s="15" t="n"/>
      <c r="D32" s="15" t="n"/>
      <c r="E32" s="15" t="n"/>
      <c r="F32" s="15" t="n"/>
      <c r="G32" s="15" t="n"/>
      <c r="H32" s="15" t="n"/>
      <c r="I32" s="15" t="n"/>
      <c r="J32" s="15" t="n"/>
      <c r="K32" s="15" t="n"/>
      <c r="L32" s="15" t="n"/>
      <c r="M32" s="15" t="n"/>
      <c r="N32" s="11">
        <f>SUM(B32:M32)</f>
        <v/>
      </c>
    </row>
    <row r="33">
      <c r="A33" s="14" t="inlineStr">
        <is>
          <t xml:space="preserve">   IV Therapy</t>
        </is>
      </c>
      <c r="B33" s="15" t="n"/>
      <c r="C33" s="15" t="n"/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1">
        <f>SUM(B33:M33)</f>
        <v/>
      </c>
    </row>
    <row r="34">
      <c r="A34" s="14" t="inlineStr">
        <is>
          <t xml:space="preserve">   Hormone Optimization</t>
        </is>
      </c>
      <c r="B34" s="15" t="n"/>
      <c r="C34" s="15" t="n"/>
      <c r="D34" s="15" t="n"/>
      <c r="E34" s="15" t="n"/>
      <c r="F34" s="15" t="n"/>
      <c r="G34" s="15" t="n"/>
      <c r="H34" s="15" t="n"/>
      <c r="I34" s="15" t="n"/>
      <c r="J34" s="15" t="n"/>
      <c r="K34" s="15" t="n"/>
      <c r="L34" s="15" t="n"/>
      <c r="M34" s="15" t="n"/>
      <c r="N34" s="11">
        <f>SUM(B34:M34)</f>
        <v/>
      </c>
    </row>
    <row r="35">
      <c r="A35" s="14" t="inlineStr">
        <is>
          <t xml:space="preserve">   Sexual Wellness</t>
        </is>
      </c>
      <c r="B35" s="15" t="n"/>
      <c r="C35" s="15" t="n"/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1">
        <f>SUM(B35:M35)</f>
        <v/>
      </c>
    </row>
    <row r="36" ht="22" customHeight="1">
      <c r="A36" s="30" t="inlineStr">
        <is>
          <t xml:space="preserve">   WELLNESS SERVICES TOTAL</t>
        </is>
      </c>
      <c r="B36" s="31">
        <f>SUM(B32:B35)</f>
        <v/>
      </c>
      <c r="C36" s="31">
        <f>SUM(C32:C35)</f>
        <v/>
      </c>
      <c r="D36" s="31">
        <f>SUM(D32:D35)</f>
        <v/>
      </c>
      <c r="E36" s="31">
        <f>SUM(E32:E35)</f>
        <v/>
      </c>
      <c r="F36" s="31">
        <f>SUM(F32:F35)</f>
        <v/>
      </c>
      <c r="G36" s="31">
        <f>SUM(G32:G35)</f>
        <v/>
      </c>
      <c r="H36" s="31">
        <f>SUM(H32:H35)</f>
        <v/>
      </c>
      <c r="I36" s="31">
        <f>SUM(I32:I35)</f>
        <v/>
      </c>
      <c r="J36" s="31">
        <f>SUM(J32:J35)</f>
        <v/>
      </c>
      <c r="K36" s="31">
        <f>SUM(K32:K35)</f>
        <v/>
      </c>
      <c r="L36" s="31">
        <f>SUM(L32:L35)</f>
        <v/>
      </c>
      <c r="M36" s="31">
        <f>SUM(M32:M35)</f>
        <v/>
      </c>
      <c r="N36" s="32">
        <f>SUM(N32:N35)</f>
        <v/>
      </c>
    </row>
    <row r="37" ht="6" customHeight="1"/>
    <row r="38" ht="20" customHeight="1">
      <c r="A38" s="7" t="inlineStr">
        <is>
          <t>RETAIL SALES</t>
        </is>
      </c>
      <c r="B38" s="8" t="n"/>
      <c r="C38" s="8" t="n"/>
      <c r="D38" s="8" t="n"/>
      <c r="E38" s="8" t="n"/>
      <c r="F38" s="8" t="n"/>
      <c r="G38" s="8" t="n"/>
      <c r="H38" s="8" t="n"/>
      <c r="I38" s="8" t="n"/>
      <c r="J38" s="8" t="n"/>
      <c r="K38" s="8" t="n"/>
      <c r="L38" s="8" t="n"/>
      <c r="M38" s="8" t="n"/>
      <c r="N38" s="8" t="n"/>
    </row>
    <row r="39">
      <c r="A39" s="9" t="inlineStr">
        <is>
          <t xml:space="preserve">   Skincare Products</t>
        </is>
      </c>
      <c r="B39" s="10" t="n"/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0" t="n"/>
      <c r="M39" s="10" t="n"/>
      <c r="N39" s="11">
        <f>SUM(B39:M39)</f>
        <v/>
      </c>
    </row>
    <row r="40">
      <c r="A40" s="9" t="inlineStr">
        <is>
          <t xml:space="preserve">   Supplements</t>
        </is>
      </c>
      <c r="B40" s="10" t="n"/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0" t="n"/>
      <c r="M40" s="10" t="n"/>
      <c r="N40" s="11">
        <f>SUM(B40:M40)</f>
        <v/>
      </c>
    </row>
    <row r="41">
      <c r="A41" s="9" t="inlineStr">
        <is>
          <t xml:space="preserve">   Other Retail</t>
        </is>
      </c>
      <c r="B41" s="10" t="n"/>
      <c r="C41" s="10" t="n"/>
      <c r="D41" s="10" t="n"/>
      <c r="E41" s="10" t="n"/>
      <c r="F41" s="10" t="n"/>
      <c r="G41" s="10" t="n"/>
      <c r="H41" s="10" t="n"/>
      <c r="I41" s="10" t="n"/>
      <c r="J41" s="10" t="n"/>
      <c r="K41" s="10" t="n"/>
      <c r="L41" s="10" t="n"/>
      <c r="M41" s="10" t="n"/>
      <c r="N41" s="11">
        <f>SUM(B41:M41)</f>
        <v/>
      </c>
    </row>
    <row r="42" ht="22" customHeight="1">
      <c r="A42" s="30" t="inlineStr">
        <is>
          <t xml:space="preserve">   RETAIL SALES TOTAL</t>
        </is>
      </c>
      <c r="B42" s="31">
        <f>SUM(B39:B41)</f>
        <v/>
      </c>
      <c r="C42" s="31">
        <f>SUM(C39:C41)</f>
        <v/>
      </c>
      <c r="D42" s="31">
        <f>SUM(D39:D41)</f>
        <v/>
      </c>
      <c r="E42" s="31">
        <f>SUM(E39:E41)</f>
        <v/>
      </c>
      <c r="F42" s="31">
        <f>SUM(F39:F41)</f>
        <v/>
      </c>
      <c r="G42" s="31">
        <f>SUM(G39:G41)</f>
        <v/>
      </c>
      <c r="H42" s="31">
        <f>SUM(H39:H41)</f>
        <v/>
      </c>
      <c r="I42" s="31">
        <f>SUM(I39:I41)</f>
        <v/>
      </c>
      <c r="J42" s="31">
        <f>SUM(J39:J41)</f>
        <v/>
      </c>
      <c r="K42" s="31">
        <f>SUM(K39:K41)</f>
        <v/>
      </c>
      <c r="L42" s="31">
        <f>SUM(L39:L41)</f>
        <v/>
      </c>
      <c r="M42" s="31">
        <f>SUM(M39:M41)</f>
        <v/>
      </c>
      <c r="N42" s="32">
        <f>SUM(N39:N41)</f>
        <v/>
      </c>
    </row>
    <row r="43" ht="6" customHeight="1"/>
    <row r="44" ht="20" customHeight="1">
      <c r="A44" s="7" t="inlineStr">
        <is>
          <t>MEMBERSHIPS</t>
        </is>
      </c>
      <c r="B44" s="8" t="n"/>
      <c r="C44" s="8" t="n"/>
      <c r="D44" s="8" t="n"/>
      <c r="E44" s="8" t="n"/>
      <c r="F44" s="8" t="n"/>
      <c r="G44" s="8" t="n"/>
      <c r="H44" s="8" t="n"/>
      <c r="I44" s="8" t="n"/>
      <c r="J44" s="8" t="n"/>
      <c r="K44" s="8" t="n"/>
      <c r="L44" s="8" t="n"/>
      <c r="M44" s="8" t="n"/>
      <c r="N44" s="8" t="n"/>
    </row>
    <row r="45">
      <c r="A45" s="14" t="inlineStr">
        <is>
          <t xml:space="preserve">   Monthly Membership Fees</t>
        </is>
      </c>
      <c r="B45" s="15" t="n"/>
      <c r="C45" s="15" t="n"/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1">
        <f>SUM(B45:M45)</f>
        <v/>
      </c>
    </row>
    <row r="46">
      <c r="A46" s="14" t="inlineStr">
        <is>
          <t xml:space="preserve">   VIP Programs</t>
        </is>
      </c>
      <c r="B46" s="15" t="n"/>
      <c r="C46" s="15" t="n"/>
      <c r="D46" s="15" t="n"/>
      <c r="E46" s="15" t="n"/>
      <c r="F46" s="15" t="n"/>
      <c r="G46" s="15" t="n"/>
      <c r="H46" s="15" t="n"/>
      <c r="I46" s="15" t="n"/>
      <c r="J46" s="15" t="n"/>
      <c r="K46" s="15" t="n"/>
      <c r="L46" s="15" t="n"/>
      <c r="M46" s="15" t="n"/>
      <c r="N46" s="11">
        <f>SUM(B46:M46)</f>
        <v/>
      </c>
    </row>
    <row r="47" ht="22" customHeight="1">
      <c r="A47" s="30" t="inlineStr">
        <is>
          <t xml:space="preserve">   MEMBERSHIPS TOTAL</t>
        </is>
      </c>
      <c r="B47" s="31">
        <f>SUM(B45:B46)</f>
        <v/>
      </c>
      <c r="C47" s="31">
        <f>SUM(C45:C46)</f>
        <v/>
      </c>
      <c r="D47" s="31">
        <f>SUM(D45:D46)</f>
        <v/>
      </c>
      <c r="E47" s="31">
        <f>SUM(E45:E46)</f>
        <v/>
      </c>
      <c r="F47" s="31">
        <f>SUM(F45:F46)</f>
        <v/>
      </c>
      <c r="G47" s="31">
        <f>SUM(G45:G46)</f>
        <v/>
      </c>
      <c r="H47" s="31">
        <f>SUM(H45:H46)</f>
        <v/>
      </c>
      <c r="I47" s="31">
        <f>SUM(I45:I46)</f>
        <v/>
      </c>
      <c r="J47" s="31">
        <f>SUM(J45:J46)</f>
        <v/>
      </c>
      <c r="K47" s="31">
        <f>SUM(K45:K46)</f>
        <v/>
      </c>
      <c r="L47" s="31">
        <f>SUM(L45:L46)</f>
        <v/>
      </c>
      <c r="M47" s="31">
        <f>SUM(M45:M46)</f>
        <v/>
      </c>
      <c r="N47" s="32">
        <f>SUM(N45:N46)</f>
        <v/>
      </c>
    </row>
    <row r="48" ht="6" customHeight="1"/>
    <row r="49" ht="20" customHeight="1">
      <c r="A49" s="7" t="inlineStr">
        <is>
          <t>OTHER REVENUE</t>
        </is>
      </c>
      <c r="B49" s="8" t="n"/>
      <c r="C49" s="8" t="n"/>
      <c r="D49" s="8" t="n"/>
      <c r="E49" s="8" t="n"/>
      <c r="F49" s="8" t="n"/>
      <c r="G49" s="8" t="n"/>
      <c r="H49" s="8" t="n"/>
      <c r="I49" s="8" t="n"/>
      <c r="J49" s="8" t="n"/>
      <c r="K49" s="8" t="n"/>
      <c r="L49" s="8" t="n"/>
      <c r="M49" s="8" t="n"/>
      <c r="N49" s="8" t="n"/>
    </row>
    <row r="50">
      <c r="A50" s="9" t="inlineStr">
        <is>
          <t xml:space="preserve">   Consultation Fees</t>
        </is>
      </c>
      <c r="B50" s="10" t="n"/>
      <c r="C50" s="10" t="n"/>
      <c r="D50" s="10" t="n"/>
      <c r="E50" s="10" t="n"/>
      <c r="F50" s="10" t="n"/>
      <c r="G50" s="10" t="n"/>
      <c r="H50" s="10" t="n"/>
      <c r="I50" s="10" t="n"/>
      <c r="J50" s="10" t="n"/>
      <c r="K50" s="10" t="n"/>
      <c r="L50" s="10" t="n"/>
      <c r="M50" s="10" t="n"/>
      <c r="N50" s="11">
        <f>SUM(B50:M50)</f>
        <v/>
      </c>
    </row>
    <row r="51">
      <c r="A51" s="9" t="inlineStr">
        <is>
          <t xml:space="preserve">   Training Revenue</t>
        </is>
      </c>
      <c r="B51" s="10" t="n"/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0" t="n"/>
      <c r="M51" s="10" t="n"/>
      <c r="N51" s="11">
        <f>SUM(B51:M51)</f>
        <v/>
      </c>
    </row>
    <row r="52">
      <c r="A52" s="9" t="inlineStr">
        <is>
          <t xml:space="preserve">   Event Revenue</t>
        </is>
      </c>
      <c r="B52" s="10" t="n"/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0" t="n"/>
      <c r="M52" s="10" t="n"/>
      <c r="N52" s="11">
        <f>SUM(B52:M52)</f>
        <v/>
      </c>
    </row>
    <row r="53" ht="22" customHeight="1">
      <c r="A53" s="30" t="inlineStr">
        <is>
          <t xml:space="preserve">   OTHER REVENUE TOTAL</t>
        </is>
      </c>
      <c r="B53" s="31">
        <f>SUM(B50:B52)</f>
        <v/>
      </c>
      <c r="C53" s="31">
        <f>SUM(C50:C52)</f>
        <v/>
      </c>
      <c r="D53" s="31">
        <f>SUM(D50:D52)</f>
        <v/>
      </c>
      <c r="E53" s="31">
        <f>SUM(E50:E52)</f>
        <v/>
      </c>
      <c r="F53" s="31">
        <f>SUM(F50:F52)</f>
        <v/>
      </c>
      <c r="G53" s="31">
        <f>SUM(G50:G52)</f>
        <v/>
      </c>
      <c r="H53" s="31">
        <f>SUM(H50:H52)</f>
        <v/>
      </c>
      <c r="I53" s="31">
        <f>SUM(I50:I52)</f>
        <v/>
      </c>
      <c r="J53" s="31">
        <f>SUM(J50:J52)</f>
        <v/>
      </c>
      <c r="K53" s="31">
        <f>SUM(K50:K52)</f>
        <v/>
      </c>
      <c r="L53" s="31">
        <f>SUM(L50:L52)</f>
        <v/>
      </c>
      <c r="M53" s="31">
        <f>SUM(M50:M52)</f>
        <v/>
      </c>
      <c r="N53" s="32">
        <f>SUM(N50:N52)</f>
        <v/>
      </c>
    </row>
    <row r="54" ht="6" customHeight="1"/>
    <row r="55" ht="26" customHeight="1">
      <c r="A55" s="25" t="inlineStr">
        <is>
          <t>GRAND TOTAL REVENUE</t>
        </is>
      </c>
      <c r="B55" s="26">
        <f>B12+B21+B29+B36+B42+B47+B53</f>
        <v/>
      </c>
      <c r="C55" s="26">
        <f>C12+C21+C29+C36+C42+C47+C53</f>
        <v/>
      </c>
      <c r="D55" s="26">
        <f>D12+D21+D29+D36+D42+D47+D53</f>
        <v/>
      </c>
      <c r="E55" s="26">
        <f>E12+E21+E29+E36+E42+E47+E53</f>
        <v/>
      </c>
      <c r="F55" s="26">
        <f>F12+F21+F29+F36+F42+F47+F53</f>
        <v/>
      </c>
      <c r="G55" s="26">
        <f>G12+G21+G29+G36+G42+G47+G53</f>
        <v/>
      </c>
      <c r="H55" s="26">
        <f>H12+H21+H29+H36+H42+H47+H53</f>
        <v/>
      </c>
      <c r="I55" s="26">
        <f>I12+I21+I29+I36+I42+I47+I53</f>
        <v/>
      </c>
      <c r="J55" s="26">
        <f>J12+J21+J29+J36+J42+J47+J53</f>
        <v/>
      </c>
      <c r="K55" s="26">
        <f>K12+K21+K29+K36+K42+K47+K53</f>
        <v/>
      </c>
      <c r="L55" s="26">
        <f>L12+L21+L29+L36+L42+L47+L53</f>
        <v/>
      </c>
      <c r="M55" s="26">
        <f>M12+M21+M29+M36+M42+M47+M53</f>
        <v/>
      </c>
      <c r="N55" s="27">
        <f>N12+N21+N29+N36+N42+N47+N53</f>
        <v/>
      </c>
    </row>
  </sheetData>
  <mergeCells count="2">
    <mergeCell ref="A1:O1"/>
    <mergeCell ref="A2:O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4" customWidth="1" min="14" max="14"/>
    <col width="12" customWidth="1" min="15" max="15"/>
  </cols>
  <sheetData>
    <row r="1" ht="30" customHeight="1">
      <c r="A1" s="1" t="inlineStr">
        <is>
          <t>REVENUE BY PROVIDER</t>
        </is>
      </c>
    </row>
    <row r="2">
      <c r="A2" s="5" t="inlineStr">
        <is>
          <t xml:space="preserve">  Enter monthly revenue per provider. % of Total calculates automatically.</t>
        </is>
      </c>
    </row>
    <row r="3" ht="6" customHeight="1"/>
    <row r="4" ht="22" customHeight="1">
      <c r="A4" s="6" t="inlineStr">
        <is>
          <t>PROVIDER</t>
        </is>
      </c>
      <c r="B4" s="6" t="inlineStr">
        <is>
          <t>Jan</t>
        </is>
      </c>
      <c r="C4" s="6" t="inlineStr">
        <is>
          <t>Feb</t>
        </is>
      </c>
      <c r="D4" s="6" t="inlineStr">
        <is>
          <t>Mar</t>
        </is>
      </c>
      <c r="E4" s="6" t="inlineStr">
        <is>
          <t>Apr</t>
        </is>
      </c>
      <c r="F4" s="6" t="inlineStr">
        <is>
          <t>May</t>
        </is>
      </c>
      <c r="G4" s="6" t="inlineStr">
        <is>
          <t>Jun</t>
        </is>
      </c>
      <c r="H4" s="6" t="inlineStr">
        <is>
          <t>Jul</t>
        </is>
      </c>
      <c r="I4" s="6" t="inlineStr">
        <is>
          <t>Aug</t>
        </is>
      </c>
      <c r="J4" s="6" t="inlineStr">
        <is>
          <t>Sep</t>
        </is>
      </c>
      <c r="K4" s="6" t="inlineStr">
        <is>
          <t>Oct</t>
        </is>
      </c>
      <c r="L4" s="6" t="inlineStr">
        <is>
          <t>Nov</t>
        </is>
      </c>
      <c r="M4" s="6" t="inlineStr">
        <is>
          <t>Dec</t>
        </is>
      </c>
      <c r="N4" s="6" t="inlineStr">
        <is>
          <t>ANNUAL TOTAL</t>
        </is>
      </c>
      <c r="O4" s="6" t="inlineStr">
        <is>
          <t>% OF TOTAL</t>
        </is>
      </c>
    </row>
    <row r="5" ht="6" customHeight="1"/>
    <row r="6">
      <c r="A6" s="9" t="inlineStr">
        <is>
          <t>Provider A</t>
        </is>
      </c>
      <c r="B6" s="10" t="n"/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0" t="n"/>
      <c r="M6" s="10" t="n"/>
      <c r="N6" s="11">
        <f>SUM(B6:M6)</f>
        <v/>
      </c>
      <c r="O6" s="33">
        <f>IF(N10=0,"-",N6/N10)</f>
        <v/>
      </c>
    </row>
    <row r="7">
      <c r="A7" s="14" t="inlineStr">
        <is>
          <t>Provider B</t>
        </is>
      </c>
      <c r="B7" s="15" t="n"/>
      <c r="C7" s="15" t="n"/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1">
        <f>SUM(B7:M7)</f>
        <v/>
      </c>
      <c r="O7" s="33">
        <f>IF(N10=0,"-",N7/N10)</f>
        <v/>
      </c>
    </row>
    <row r="8">
      <c r="A8" s="9" t="inlineStr">
        <is>
          <t>Provider C</t>
        </is>
      </c>
      <c r="B8" s="10" t="n"/>
      <c r="C8" s="10" t="n"/>
      <c r="D8" s="10" t="n"/>
      <c r="E8" s="10" t="n"/>
      <c r="F8" s="10" t="n"/>
      <c r="G8" s="10" t="n"/>
      <c r="H8" s="10" t="n"/>
      <c r="I8" s="10" t="n"/>
      <c r="J8" s="10" t="n"/>
      <c r="K8" s="10" t="n"/>
      <c r="L8" s="10" t="n"/>
      <c r="M8" s="10" t="n"/>
      <c r="N8" s="11">
        <f>SUM(B8:M8)</f>
        <v/>
      </c>
      <c r="O8" s="33">
        <f>IF(N10=0,"-",N8/N10)</f>
        <v/>
      </c>
    </row>
    <row r="9">
      <c r="A9" s="14" t="inlineStr">
        <is>
          <t>Provider D</t>
        </is>
      </c>
      <c r="B9" s="15" t="n"/>
      <c r="C9" s="15" t="n"/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1">
        <f>SUM(B9:M9)</f>
        <v/>
      </c>
      <c r="O9" s="33">
        <f>IF(N10=0,"-",N9/N10)</f>
        <v/>
      </c>
    </row>
    <row r="10" ht="22" customHeight="1">
      <c r="A10" s="16" t="inlineStr">
        <is>
          <t>TOTAL ALL PROVIDERS</t>
        </is>
      </c>
      <c r="B10" s="34">
        <f>SUM(B6:B9)</f>
        <v/>
      </c>
      <c r="C10" s="34">
        <f>SUM(C6:C9)</f>
        <v/>
      </c>
      <c r="D10" s="34">
        <f>SUM(D6:D9)</f>
        <v/>
      </c>
      <c r="E10" s="34">
        <f>SUM(E6:E9)</f>
        <v/>
      </c>
      <c r="F10" s="34">
        <f>SUM(F6:F9)</f>
        <v/>
      </c>
      <c r="G10" s="34">
        <f>SUM(G6:G9)</f>
        <v/>
      </c>
      <c r="H10" s="34">
        <f>SUM(H6:H9)</f>
        <v/>
      </c>
      <c r="I10" s="34">
        <f>SUM(I6:I9)</f>
        <v/>
      </c>
      <c r="J10" s="34">
        <f>SUM(J6:J9)</f>
        <v/>
      </c>
      <c r="K10" s="34">
        <f>SUM(K6:K9)</f>
        <v/>
      </c>
      <c r="L10" s="34">
        <f>SUM(L6:L9)</f>
        <v/>
      </c>
      <c r="M10" s="34">
        <f>SUM(M6:M9)</f>
        <v/>
      </c>
      <c r="N10" s="18">
        <f>SUM(N6:N9)</f>
        <v/>
      </c>
      <c r="O10" s="35" t="inlineStr">
        <is>
          <t>100.0%</t>
        </is>
      </c>
    </row>
    <row r="11" ht="16" customHeight="1"/>
    <row r="12">
      <c r="A12" s="2" t="inlineStr">
        <is>
          <t>Revenue Per Provider:</t>
        </is>
      </c>
      <c r="D12" s="36">
        <f>IF(COUNTA(A6:A9)=0,"-",N10/COUNTA(A6:A9))</f>
        <v/>
      </c>
    </row>
  </sheetData>
  <mergeCells count="4">
    <mergeCell ref="A12:C12"/>
    <mergeCell ref="D12:G12"/>
    <mergeCell ref="A1:P1"/>
    <mergeCell ref="A2:P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23"/>
  <sheetViews>
    <sheetView workbookViewId="0">
      <pane xSplit="2" ySplit="6" topLeftCell="C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2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4" customWidth="1" min="15" max="15"/>
  </cols>
  <sheetData>
    <row r="1" ht="30" customHeight="1">
      <c r="A1" s="1" t="inlineStr">
        <is>
          <t>KPI DASHBOARD</t>
        </is>
      </c>
    </row>
    <row r="2">
      <c r="A2" s="5" t="inlineStr">
        <is>
          <t xml:space="preserve">  Metrics auto-calculate from Monthly P&amp;L. Green = on track · Yellow = watch · Red = needs attention.</t>
        </is>
      </c>
    </row>
    <row r="3" ht="6" customHeight="1"/>
    <row r="4">
      <c r="A4" s="2" t="inlineStr">
        <is>
          <t># of Treatment Rooms:</t>
        </is>
      </c>
      <c r="D4" s="37" t="inlineStr">
        <is>
          <t>3</t>
        </is>
      </c>
    </row>
    <row r="5" ht="6" customHeight="1"/>
    <row r="6" ht="22" customHeight="1">
      <c r="A6" s="38" t="inlineStr">
        <is>
          <t>KPI METRIC</t>
        </is>
      </c>
      <c r="B6" s="6" t="inlineStr">
        <is>
          <t>GOAL</t>
        </is>
      </c>
      <c r="C6" s="6" t="inlineStr">
        <is>
          <t>Jan</t>
        </is>
      </c>
      <c r="D6" s="6" t="inlineStr">
        <is>
          <t>Feb</t>
        </is>
      </c>
      <c r="E6" s="6" t="inlineStr">
        <is>
          <t>Mar</t>
        </is>
      </c>
      <c r="F6" s="6" t="inlineStr">
        <is>
          <t>Apr</t>
        </is>
      </c>
      <c r="G6" s="6" t="inlineStr">
        <is>
          <t>May</t>
        </is>
      </c>
      <c r="H6" s="6" t="inlineStr">
        <is>
          <t>Jun</t>
        </is>
      </c>
      <c r="I6" s="6" t="inlineStr">
        <is>
          <t>Jul</t>
        </is>
      </c>
      <c r="J6" s="6" t="inlineStr">
        <is>
          <t>Aug</t>
        </is>
      </c>
      <c r="K6" s="6" t="inlineStr">
        <is>
          <t>Sep</t>
        </is>
      </c>
      <c r="L6" s="6" t="inlineStr">
        <is>
          <t>Oct</t>
        </is>
      </c>
      <c r="M6" s="6" t="inlineStr">
        <is>
          <t>Nov</t>
        </is>
      </c>
      <c r="N6" s="6" t="inlineStr">
        <is>
          <t>Dec</t>
        </is>
      </c>
      <c r="O6" s="6" t="inlineStr">
        <is>
          <t>YTD</t>
        </is>
      </c>
    </row>
    <row r="7" ht="6" customHeight="1"/>
    <row r="8" ht="22" customHeight="1">
      <c r="A8" s="39" t="inlineStr">
        <is>
          <t>Total Revenue ($)</t>
        </is>
      </c>
      <c r="B8" s="40" t="inlineStr">
        <is>
          <t>-</t>
        </is>
      </c>
      <c r="C8" s="41">
        <f>'Monthly P&amp;L'!B15</f>
        <v/>
      </c>
      <c r="D8" s="41">
        <f>'Monthly P&amp;L'!C15</f>
        <v/>
      </c>
      <c r="E8" s="41">
        <f>'Monthly P&amp;L'!D15</f>
        <v/>
      </c>
      <c r="F8" s="41">
        <f>'Monthly P&amp;L'!E15</f>
        <v/>
      </c>
      <c r="G8" s="41">
        <f>'Monthly P&amp;L'!F15</f>
        <v/>
      </c>
      <c r="H8" s="41">
        <f>'Monthly P&amp;L'!G15</f>
        <v/>
      </c>
      <c r="I8" s="41">
        <f>'Monthly P&amp;L'!H15</f>
        <v/>
      </c>
      <c r="J8" s="41">
        <f>'Monthly P&amp;L'!I15</f>
        <v/>
      </c>
      <c r="K8" s="41">
        <f>'Monthly P&amp;L'!J15</f>
        <v/>
      </c>
      <c r="L8" s="41">
        <f>'Monthly P&amp;L'!K15</f>
        <v/>
      </c>
      <c r="M8" s="41">
        <f>'Monthly P&amp;L'!L15</f>
        <v/>
      </c>
      <c r="N8" s="41">
        <f>'Monthly P&amp;L'!M15</f>
        <v/>
      </c>
      <c r="O8" s="42">
        <f>'Monthly P&amp;L'!N15</f>
        <v/>
      </c>
    </row>
    <row r="9" ht="22" customHeight="1">
      <c r="A9" s="43" t="inlineStr">
        <is>
          <t>Gross Margin %</t>
        </is>
      </c>
      <c r="B9" s="40" t="inlineStr">
        <is>
          <t>70–80%</t>
        </is>
      </c>
      <c r="C9" s="44">
        <f>IF('Monthly P&amp;L'!B15=0,"-",'Monthly P&amp;L'!B24/'Monthly P&amp;L'!B15)</f>
        <v/>
      </c>
      <c r="D9" s="44">
        <f>IF('Monthly P&amp;L'!C15=0,"-",'Monthly P&amp;L'!C24/'Monthly P&amp;L'!C15)</f>
        <v/>
      </c>
      <c r="E9" s="44">
        <f>IF('Monthly P&amp;L'!D15=0,"-",'Monthly P&amp;L'!D24/'Monthly P&amp;L'!D15)</f>
        <v/>
      </c>
      <c r="F9" s="44">
        <f>IF('Monthly P&amp;L'!E15=0,"-",'Monthly P&amp;L'!E24/'Monthly P&amp;L'!E15)</f>
        <v/>
      </c>
      <c r="G9" s="44">
        <f>IF('Monthly P&amp;L'!F15=0,"-",'Monthly P&amp;L'!F24/'Monthly P&amp;L'!F15)</f>
        <v/>
      </c>
      <c r="H9" s="44">
        <f>IF('Monthly P&amp;L'!G15=0,"-",'Monthly P&amp;L'!G24/'Monthly P&amp;L'!G15)</f>
        <v/>
      </c>
      <c r="I9" s="44">
        <f>IF('Monthly P&amp;L'!H15=0,"-",'Monthly P&amp;L'!H24/'Monthly P&amp;L'!H15)</f>
        <v/>
      </c>
      <c r="J9" s="44">
        <f>IF('Monthly P&amp;L'!I15=0,"-",'Monthly P&amp;L'!I24/'Monthly P&amp;L'!I15)</f>
        <v/>
      </c>
      <c r="K9" s="44">
        <f>IF('Monthly P&amp;L'!J15=0,"-",'Monthly P&amp;L'!J24/'Monthly P&amp;L'!J15)</f>
        <v/>
      </c>
      <c r="L9" s="44">
        <f>IF('Monthly P&amp;L'!K15=0,"-",'Monthly P&amp;L'!K24/'Monthly P&amp;L'!K15)</f>
        <v/>
      </c>
      <c r="M9" s="44">
        <f>IF('Monthly P&amp;L'!L15=0,"-",'Monthly P&amp;L'!L24/'Monthly P&amp;L'!L15)</f>
        <v/>
      </c>
      <c r="N9" s="44">
        <f>IF('Monthly P&amp;L'!M15=0,"-",'Monthly P&amp;L'!M24/'Monthly P&amp;L'!M15)</f>
        <v/>
      </c>
      <c r="O9" s="45">
        <f>IF('Monthly P&amp;L'!N15=0,"-",'Monthly P&amp;L'!N24/'Monthly P&amp;L'!N15)</f>
        <v/>
      </c>
    </row>
    <row r="10" ht="22" customHeight="1">
      <c r="A10" s="46" t="inlineStr">
        <is>
          <t>Payroll % of Revenue</t>
        </is>
      </c>
      <c r="B10" s="40" t="inlineStr">
        <is>
          <t>25–35%</t>
        </is>
      </c>
      <c r="C10" s="47">
        <f>IF('Monthly P&amp;L'!B15=0,"-",'Monthly P&amp;L'!B32/'Monthly P&amp;L'!B15)</f>
        <v/>
      </c>
      <c r="D10" s="47">
        <f>IF('Monthly P&amp;L'!C15=0,"-",'Monthly P&amp;L'!C32/'Monthly P&amp;L'!C15)</f>
        <v/>
      </c>
      <c r="E10" s="47">
        <f>IF('Monthly P&amp;L'!D15=0,"-",'Monthly P&amp;L'!D32/'Monthly P&amp;L'!D15)</f>
        <v/>
      </c>
      <c r="F10" s="47">
        <f>IF('Monthly P&amp;L'!E15=0,"-",'Monthly P&amp;L'!E32/'Monthly P&amp;L'!E15)</f>
        <v/>
      </c>
      <c r="G10" s="47">
        <f>IF('Monthly P&amp;L'!F15=0,"-",'Monthly P&amp;L'!F32/'Monthly P&amp;L'!F15)</f>
        <v/>
      </c>
      <c r="H10" s="47">
        <f>IF('Monthly P&amp;L'!G15=0,"-",'Monthly P&amp;L'!G32/'Monthly P&amp;L'!G15)</f>
        <v/>
      </c>
      <c r="I10" s="47">
        <f>IF('Monthly P&amp;L'!H15=0,"-",'Monthly P&amp;L'!H32/'Monthly P&amp;L'!H15)</f>
        <v/>
      </c>
      <c r="J10" s="47">
        <f>IF('Monthly P&amp;L'!I15=0,"-",'Monthly P&amp;L'!I32/'Monthly P&amp;L'!I15)</f>
        <v/>
      </c>
      <c r="K10" s="47">
        <f>IF('Monthly P&amp;L'!J15=0,"-",'Monthly P&amp;L'!J32/'Monthly P&amp;L'!J15)</f>
        <v/>
      </c>
      <c r="L10" s="47">
        <f>IF('Monthly P&amp;L'!K15=0,"-",'Monthly P&amp;L'!K32/'Monthly P&amp;L'!K15)</f>
        <v/>
      </c>
      <c r="M10" s="47">
        <f>IF('Monthly P&amp;L'!L15=0,"-",'Monthly P&amp;L'!L32/'Monthly P&amp;L'!L15)</f>
        <v/>
      </c>
      <c r="N10" s="47">
        <f>IF('Monthly P&amp;L'!M15=0,"-",'Monthly P&amp;L'!M32/'Monthly P&amp;L'!M15)</f>
        <v/>
      </c>
      <c r="O10" s="45">
        <f>IF('Monthly P&amp;L'!N15=0,"-",'Monthly P&amp;L'!N32/'Monthly P&amp;L'!N15)</f>
        <v/>
      </c>
    </row>
    <row r="11" ht="22" customHeight="1">
      <c r="A11" s="43" t="inlineStr">
        <is>
          <t>Marketing % of Revenue</t>
        </is>
      </c>
      <c r="B11" s="40" t="inlineStr">
        <is>
          <t>5–10%</t>
        </is>
      </c>
      <c r="C11" s="44">
        <f>IF('Monthly P&amp;L'!B15=0,"-",'Monthly P&amp;L'!B42/'Monthly P&amp;L'!B15)</f>
        <v/>
      </c>
      <c r="D11" s="44">
        <f>IF('Monthly P&amp;L'!C15=0,"-",'Monthly P&amp;L'!C42/'Monthly P&amp;L'!C15)</f>
        <v/>
      </c>
      <c r="E11" s="44">
        <f>IF('Monthly P&amp;L'!D15=0,"-",'Monthly P&amp;L'!D42/'Monthly P&amp;L'!D15)</f>
        <v/>
      </c>
      <c r="F11" s="44">
        <f>IF('Monthly P&amp;L'!E15=0,"-",'Monthly P&amp;L'!E42/'Monthly P&amp;L'!E15)</f>
        <v/>
      </c>
      <c r="G11" s="44">
        <f>IF('Monthly P&amp;L'!F15=0,"-",'Monthly P&amp;L'!F42/'Monthly P&amp;L'!F15)</f>
        <v/>
      </c>
      <c r="H11" s="44">
        <f>IF('Monthly P&amp;L'!G15=0,"-",'Monthly P&amp;L'!G42/'Monthly P&amp;L'!G15)</f>
        <v/>
      </c>
      <c r="I11" s="44">
        <f>IF('Monthly P&amp;L'!H15=0,"-",'Monthly P&amp;L'!H42/'Monthly P&amp;L'!H15)</f>
        <v/>
      </c>
      <c r="J11" s="44">
        <f>IF('Monthly P&amp;L'!I15=0,"-",'Monthly P&amp;L'!I42/'Monthly P&amp;L'!I15)</f>
        <v/>
      </c>
      <c r="K11" s="44">
        <f>IF('Monthly P&amp;L'!J15=0,"-",'Monthly P&amp;L'!J42/'Monthly P&amp;L'!J15)</f>
        <v/>
      </c>
      <c r="L11" s="44">
        <f>IF('Monthly P&amp;L'!K15=0,"-",'Monthly P&amp;L'!K42/'Monthly P&amp;L'!K15)</f>
        <v/>
      </c>
      <c r="M11" s="44">
        <f>IF('Monthly P&amp;L'!L15=0,"-",'Monthly P&amp;L'!L42/'Monthly P&amp;L'!L15)</f>
        <v/>
      </c>
      <c r="N11" s="44">
        <f>IF('Monthly P&amp;L'!M15=0,"-",'Monthly P&amp;L'!M42/'Monthly P&amp;L'!M15)</f>
        <v/>
      </c>
      <c r="O11" s="45">
        <f>IF('Monthly P&amp;L'!N15=0,"-",'Monthly P&amp;L'!N42/'Monthly P&amp;L'!N15)</f>
        <v/>
      </c>
    </row>
    <row r="12" ht="22" customHeight="1">
      <c r="A12" s="46" t="inlineStr">
        <is>
          <t>Occupancy % of Revenue</t>
        </is>
      </c>
      <c r="B12" s="40" t="inlineStr">
        <is>
          <t>10–15%</t>
        </is>
      </c>
      <c r="C12" s="47">
        <f>IF('Monthly P&amp;L'!B15=0,"-",'Monthly P&amp;L'!B50/'Monthly P&amp;L'!B15)</f>
        <v/>
      </c>
      <c r="D12" s="47">
        <f>IF('Monthly P&amp;L'!C15=0,"-",'Monthly P&amp;L'!C50/'Monthly P&amp;L'!C15)</f>
        <v/>
      </c>
      <c r="E12" s="47">
        <f>IF('Monthly P&amp;L'!D15=0,"-",'Monthly P&amp;L'!D50/'Monthly P&amp;L'!D15)</f>
        <v/>
      </c>
      <c r="F12" s="47">
        <f>IF('Monthly P&amp;L'!E15=0,"-",'Monthly P&amp;L'!E50/'Monthly P&amp;L'!E15)</f>
        <v/>
      </c>
      <c r="G12" s="47">
        <f>IF('Monthly P&amp;L'!F15=0,"-",'Monthly P&amp;L'!F50/'Monthly P&amp;L'!F15)</f>
        <v/>
      </c>
      <c r="H12" s="47">
        <f>IF('Monthly P&amp;L'!G15=0,"-",'Monthly P&amp;L'!G50/'Monthly P&amp;L'!G15)</f>
        <v/>
      </c>
      <c r="I12" s="47">
        <f>IF('Monthly P&amp;L'!H15=0,"-",'Monthly P&amp;L'!H50/'Monthly P&amp;L'!H15)</f>
        <v/>
      </c>
      <c r="J12" s="47">
        <f>IF('Monthly P&amp;L'!I15=0,"-",'Monthly P&amp;L'!I50/'Monthly P&amp;L'!I15)</f>
        <v/>
      </c>
      <c r="K12" s="47">
        <f>IF('Monthly P&amp;L'!J15=0,"-",'Monthly P&amp;L'!J50/'Monthly P&amp;L'!J15)</f>
        <v/>
      </c>
      <c r="L12" s="47">
        <f>IF('Monthly P&amp;L'!K15=0,"-",'Monthly P&amp;L'!K50/'Monthly P&amp;L'!K15)</f>
        <v/>
      </c>
      <c r="M12" s="47">
        <f>IF('Monthly P&amp;L'!L15=0,"-",'Monthly P&amp;L'!L50/'Monthly P&amp;L'!L15)</f>
        <v/>
      </c>
      <c r="N12" s="47">
        <f>IF('Monthly P&amp;L'!M15=0,"-",'Monthly P&amp;L'!M50/'Monthly P&amp;L'!M15)</f>
        <v/>
      </c>
      <c r="O12" s="45">
        <f>IF('Monthly P&amp;L'!N15=0,"-",'Monthly P&amp;L'!N50/'Monthly P&amp;L'!N15)</f>
        <v/>
      </c>
    </row>
    <row r="13" ht="22" customHeight="1">
      <c r="A13" s="43" t="inlineStr">
        <is>
          <t>Net Profit % of Revenue</t>
        </is>
      </c>
      <c r="B13" s="40" t="inlineStr">
        <is>
          <t>15–30%</t>
        </is>
      </c>
      <c r="C13" s="44">
        <f>IF('Monthly P&amp;L'!B15=0,"-",'Monthly P&amp;L'!B64/'Monthly P&amp;L'!B15)</f>
        <v/>
      </c>
      <c r="D13" s="44">
        <f>IF('Monthly P&amp;L'!C15=0,"-",'Monthly P&amp;L'!C64/'Monthly P&amp;L'!C15)</f>
        <v/>
      </c>
      <c r="E13" s="44">
        <f>IF('Monthly P&amp;L'!D15=0,"-",'Monthly P&amp;L'!D64/'Monthly P&amp;L'!D15)</f>
        <v/>
      </c>
      <c r="F13" s="44">
        <f>IF('Monthly P&amp;L'!E15=0,"-",'Monthly P&amp;L'!E64/'Monthly P&amp;L'!E15)</f>
        <v/>
      </c>
      <c r="G13" s="44">
        <f>IF('Monthly P&amp;L'!F15=0,"-",'Monthly P&amp;L'!F64/'Monthly P&amp;L'!F15)</f>
        <v/>
      </c>
      <c r="H13" s="44">
        <f>IF('Monthly P&amp;L'!G15=0,"-",'Monthly P&amp;L'!G64/'Monthly P&amp;L'!G15)</f>
        <v/>
      </c>
      <c r="I13" s="44">
        <f>IF('Monthly P&amp;L'!H15=0,"-",'Monthly P&amp;L'!H64/'Monthly P&amp;L'!H15)</f>
        <v/>
      </c>
      <c r="J13" s="44">
        <f>IF('Monthly P&amp;L'!I15=0,"-",'Monthly P&amp;L'!I64/'Monthly P&amp;L'!I15)</f>
        <v/>
      </c>
      <c r="K13" s="44">
        <f>IF('Monthly P&amp;L'!J15=0,"-",'Monthly P&amp;L'!J64/'Monthly P&amp;L'!J15)</f>
        <v/>
      </c>
      <c r="L13" s="44">
        <f>IF('Monthly P&amp;L'!K15=0,"-",'Monthly P&amp;L'!K64/'Monthly P&amp;L'!K15)</f>
        <v/>
      </c>
      <c r="M13" s="44">
        <f>IF('Monthly P&amp;L'!L15=0,"-",'Monthly P&amp;L'!L64/'Monthly P&amp;L'!L15)</f>
        <v/>
      </c>
      <c r="N13" s="44">
        <f>IF('Monthly P&amp;L'!M15=0,"-",'Monthly P&amp;L'!M64/'Monthly P&amp;L'!M15)</f>
        <v/>
      </c>
      <c r="O13" s="45">
        <f>IF('Monthly P&amp;L'!N15=0,"-",'Monthly P&amp;L'!N64/'Monthly P&amp;L'!N15)</f>
        <v/>
      </c>
    </row>
    <row r="14" ht="22" customHeight="1">
      <c r="A14" s="46" t="inlineStr">
        <is>
          <t>Revenue Per Provider ($)</t>
        </is>
      </c>
      <c r="B14" s="40" t="inlineStr">
        <is>
          <t>-</t>
        </is>
      </c>
      <c r="C14" s="41">
        <f>IF('Revenue by Provider'!N10=0,"-",'Revenue by Provider'!B10/IF(COUNTA('Revenue by Provider'!A6:A9)=0,1,COUNTA('Revenue by Provider'!A6:A9)))</f>
        <v/>
      </c>
      <c r="D14" s="41">
        <f>IF('Revenue by Provider'!N10=0,"-",'Revenue by Provider'!C10/IF(COUNTA('Revenue by Provider'!A6:A9)=0,1,COUNTA('Revenue by Provider'!A6:A9)))</f>
        <v/>
      </c>
      <c r="E14" s="41">
        <f>IF('Revenue by Provider'!N10=0,"-",'Revenue by Provider'!D10/IF(COUNTA('Revenue by Provider'!A6:A9)=0,1,COUNTA('Revenue by Provider'!A6:A9)))</f>
        <v/>
      </c>
      <c r="F14" s="41">
        <f>IF('Revenue by Provider'!N10=0,"-",'Revenue by Provider'!E10/IF(COUNTA('Revenue by Provider'!A6:A9)=0,1,COUNTA('Revenue by Provider'!A6:A9)))</f>
        <v/>
      </c>
      <c r="G14" s="41">
        <f>IF('Revenue by Provider'!N10=0,"-",'Revenue by Provider'!F10/IF(COUNTA('Revenue by Provider'!A6:A9)=0,1,COUNTA('Revenue by Provider'!A6:A9)))</f>
        <v/>
      </c>
      <c r="H14" s="41">
        <f>IF('Revenue by Provider'!N10=0,"-",'Revenue by Provider'!G10/IF(COUNTA('Revenue by Provider'!A6:A9)=0,1,COUNTA('Revenue by Provider'!A6:A9)))</f>
        <v/>
      </c>
      <c r="I14" s="41">
        <f>IF('Revenue by Provider'!N10=0,"-",'Revenue by Provider'!H10/IF(COUNTA('Revenue by Provider'!A6:A9)=0,1,COUNTA('Revenue by Provider'!A6:A9)))</f>
        <v/>
      </c>
      <c r="J14" s="41">
        <f>IF('Revenue by Provider'!N10=0,"-",'Revenue by Provider'!I10/IF(COUNTA('Revenue by Provider'!A6:A9)=0,1,COUNTA('Revenue by Provider'!A6:A9)))</f>
        <v/>
      </c>
      <c r="K14" s="41">
        <f>IF('Revenue by Provider'!N10=0,"-",'Revenue by Provider'!J10/IF(COUNTA('Revenue by Provider'!A6:A9)=0,1,COUNTA('Revenue by Provider'!A6:A9)))</f>
        <v/>
      </c>
      <c r="L14" s="41">
        <f>IF('Revenue by Provider'!N10=0,"-",'Revenue by Provider'!K10/IF(COUNTA('Revenue by Provider'!A6:A9)=0,1,COUNTA('Revenue by Provider'!A6:A9)))</f>
        <v/>
      </c>
      <c r="M14" s="41">
        <f>IF('Revenue by Provider'!N10=0,"-",'Revenue by Provider'!L10/IF(COUNTA('Revenue by Provider'!A6:A9)=0,1,COUNTA('Revenue by Provider'!A6:A9)))</f>
        <v/>
      </c>
      <c r="N14" s="41">
        <f>IF('Revenue by Provider'!N10=0,"-",'Revenue by Provider'!M10/IF(COUNTA('Revenue by Provider'!A6:A9)=0,1,COUNTA('Revenue by Provider'!A6:A9)))</f>
        <v/>
      </c>
      <c r="O14" s="42">
        <f>IF('Revenue by Provider'!N10=0,"-",'Revenue by Provider'!N10/IF(COUNTA('Revenue by Provider'!A6:A9)=0,1,COUNTA('Revenue by Provider'!A6:A9)))</f>
        <v/>
      </c>
    </row>
    <row r="15" ht="22" customHeight="1">
      <c r="A15" s="43" t="inlineStr">
        <is>
          <t>Revenue Per Treatment Room</t>
        </is>
      </c>
      <c r="B15" s="40" t="inlineStr">
        <is>
          <t>(÷Rooms)</t>
        </is>
      </c>
      <c r="C15" s="48">
        <f>IF('Monthly P&amp;L'!B15=0,"-",'Monthly P&amp;L'!B15/$D$4)</f>
        <v/>
      </c>
      <c r="D15" s="48">
        <f>IF('Monthly P&amp;L'!C15=0,"-",'Monthly P&amp;L'!C15/$D$4)</f>
        <v/>
      </c>
      <c r="E15" s="48">
        <f>IF('Monthly P&amp;L'!D15=0,"-",'Monthly P&amp;L'!D15/$D$4)</f>
        <v/>
      </c>
      <c r="F15" s="48">
        <f>IF('Monthly P&amp;L'!E15=0,"-",'Monthly P&amp;L'!E15/$D$4)</f>
        <v/>
      </c>
      <c r="G15" s="48">
        <f>IF('Monthly P&amp;L'!F15=0,"-",'Monthly P&amp;L'!F15/$D$4)</f>
        <v/>
      </c>
      <c r="H15" s="48">
        <f>IF('Monthly P&amp;L'!G15=0,"-",'Monthly P&amp;L'!G15/$D$4)</f>
        <v/>
      </c>
      <c r="I15" s="48">
        <f>IF('Monthly P&amp;L'!H15=0,"-",'Monthly P&amp;L'!H15/$D$4)</f>
        <v/>
      </c>
      <c r="J15" s="48">
        <f>IF('Monthly P&amp;L'!I15=0,"-",'Monthly P&amp;L'!I15/$D$4)</f>
        <v/>
      </c>
      <c r="K15" s="48">
        <f>IF('Monthly P&amp;L'!J15=0,"-",'Monthly P&amp;L'!J15/$D$4)</f>
        <v/>
      </c>
      <c r="L15" s="48">
        <f>IF('Monthly P&amp;L'!K15=0,"-",'Monthly P&amp;L'!K15/$D$4)</f>
        <v/>
      </c>
      <c r="M15" s="48">
        <f>IF('Monthly P&amp;L'!L15=0,"-",'Monthly P&amp;L'!L15/$D$4)</f>
        <v/>
      </c>
      <c r="N15" s="48">
        <f>IF('Monthly P&amp;L'!M15=0,"-",'Monthly P&amp;L'!M15/$D$4)</f>
        <v/>
      </c>
      <c r="O15" s="42">
        <f>IF('Monthly P&amp;L'!N15=0,"-",'Monthly P&amp;L'!N15/$D$4)</f>
        <v/>
      </c>
    </row>
    <row r="16" ht="22" customHeight="1">
      <c r="A16" s="39" t="inlineStr">
        <is>
          <t>Net Operating Profit ($)</t>
        </is>
      </c>
      <c r="B16" s="40" t="inlineStr">
        <is>
          <t>-</t>
        </is>
      </c>
      <c r="C16" s="41">
        <f>'Monthly P&amp;L'!B64</f>
        <v/>
      </c>
      <c r="D16" s="41">
        <f>'Monthly P&amp;L'!C64</f>
        <v/>
      </c>
      <c r="E16" s="41">
        <f>'Monthly P&amp;L'!D64</f>
        <v/>
      </c>
      <c r="F16" s="41">
        <f>'Monthly P&amp;L'!E64</f>
        <v/>
      </c>
      <c r="G16" s="41">
        <f>'Monthly P&amp;L'!F64</f>
        <v/>
      </c>
      <c r="H16" s="41">
        <f>'Monthly P&amp;L'!G64</f>
        <v/>
      </c>
      <c r="I16" s="41">
        <f>'Monthly P&amp;L'!H64</f>
        <v/>
      </c>
      <c r="J16" s="41">
        <f>'Monthly P&amp;L'!I64</f>
        <v/>
      </c>
      <c r="K16" s="41">
        <f>'Monthly P&amp;L'!J64</f>
        <v/>
      </c>
      <c r="L16" s="41">
        <f>'Monthly P&amp;L'!K64</f>
        <v/>
      </c>
      <c r="M16" s="41">
        <f>'Monthly P&amp;L'!L64</f>
        <v/>
      </c>
      <c r="N16" s="41">
        <f>'Monthly P&amp;L'!M64</f>
        <v/>
      </c>
      <c r="O16" s="42">
        <f>'Monthly P&amp;L'!N64</f>
        <v/>
      </c>
    </row>
    <row r="17" ht="12" customHeight="1"/>
    <row r="18" ht="20" customHeight="1">
      <c r="A18" s="6" t="inlineStr">
        <is>
          <t>COLOR KEY</t>
        </is>
      </c>
    </row>
    <row r="19" ht="18" customHeight="1">
      <c r="A19" s="49" t="inlineStr">
        <is>
          <t xml:space="preserve">   Blue text = Input (enter your data)</t>
        </is>
      </c>
    </row>
    <row r="20" ht="18" customHeight="1">
      <c r="A20" s="50" t="inlineStr">
        <is>
          <t xml:space="preserve">   Black text = Formula (auto-calculates)</t>
        </is>
      </c>
    </row>
    <row r="21" ht="18" customHeight="1">
      <c r="A21" s="51" t="inlineStr">
        <is>
          <t xml:space="preserve">   Green text = Cross-sheet reference</t>
        </is>
      </c>
    </row>
    <row r="22" ht="18" customHeight="1">
      <c r="A22" s="52" t="inlineStr">
        <is>
          <t xml:space="preserve">   Green background = Benchmark / Goal</t>
        </is>
      </c>
    </row>
    <row r="23" ht="18" customHeight="1">
      <c r="A23" s="53" t="inlineStr">
        <is>
          <t xml:space="preserve">   Gold background = Key input assumption</t>
        </is>
      </c>
    </row>
  </sheetData>
  <mergeCells count="9">
    <mergeCell ref="A23:D23"/>
    <mergeCell ref="A18:D18"/>
    <mergeCell ref="A22:D22"/>
    <mergeCell ref="A1:P1"/>
    <mergeCell ref="A20:D20"/>
    <mergeCell ref="A21:D21"/>
    <mergeCell ref="A19:D19"/>
    <mergeCell ref="A4:C4"/>
    <mergeCell ref="A2:P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2026-06-17T22:44:47Z</dcterms:created>
  <dcterms:modified xmlns:dcterms="http://purl.org/dc/terms/" xmlns:xsi="http://www.w3.org/2001/XMLSchema-instance" xsi:type="dcterms:W3CDTF">2026-06-17T22:44:47Z</dcterms:modified>
</cp:coreProperties>
</file>