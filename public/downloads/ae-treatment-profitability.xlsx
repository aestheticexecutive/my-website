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atment Profitability" sheetId="1" state="visible" r:id="rId1"/>
    <sheet xmlns:r="http://schemas.openxmlformats.org/officeDocument/2006/relationships" name="Monthly Contribution" sheetId="2" state="visible" r:id="rId2"/>
    <sheet xmlns:r="http://schemas.openxmlformats.org/officeDocument/2006/relationships" name="How To U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18">
    <font>
      <name val="Calibri"/>
      <family val="2"/>
      <color theme="1"/>
      <sz val="11"/>
      <scheme val="minor"/>
    </font>
    <font>
      <name val="Arial"/>
      <b val="1"/>
      <color rgb="00FFFDF6"/>
      <sz val="14"/>
    </font>
    <font>
      <name val="Arial"/>
      <color rgb="007A5C40"/>
      <sz val="9"/>
    </font>
    <font>
      <name val="Arial"/>
      <b val="1"/>
      <color rgb="007A5C40"/>
      <sz val="9"/>
    </font>
    <font>
      <name val="Arial"/>
      <b val="1"/>
      <color rgb="00276221"/>
      <sz val="9"/>
    </font>
    <font>
      <name val="Arial"/>
      <b val="1"/>
      <color rgb="009C6500"/>
      <sz val="9"/>
    </font>
    <font>
      <name val="Arial"/>
      <b val="1"/>
      <color rgb="009C0006"/>
      <sz val="9"/>
    </font>
    <font>
      <name val="Arial"/>
      <b val="1"/>
      <color rgb="00FFFDF6"/>
      <sz val="10"/>
    </font>
    <font>
      <name val="Arial"/>
      <i val="1"/>
      <color rgb="000000FF"/>
      <sz val="8"/>
    </font>
    <font>
      <name val="Arial"/>
      <i val="1"/>
      <color rgb="00999999"/>
      <sz val="8"/>
    </font>
    <font>
      <name val="Arial"/>
      <color rgb="00000000"/>
      <sz val="10"/>
    </font>
    <font>
      <name val="Arial"/>
      <color rgb="000000FF"/>
      <sz val="10"/>
    </font>
    <font>
      <name val="Arial"/>
      <b val="1"/>
      <color rgb="00000000"/>
      <sz val="10"/>
    </font>
    <font>
      <name val="Arial"/>
      <b val="1"/>
      <color rgb="00000000"/>
      <sz val="11"/>
    </font>
    <font>
      <name val="Arial"/>
      <i val="1"/>
      <color rgb="00666666"/>
      <sz val="8"/>
    </font>
    <font>
      <name val="Arial"/>
      <color rgb="001B6B2A"/>
      <sz val="10"/>
    </font>
    <font>
      <name val="Arial"/>
      <b val="1"/>
      <color rgb="00FFFDF6"/>
      <sz val="11"/>
    </font>
    <font>
      <name val="Arial"/>
      <b val="1"/>
      <color rgb="007A5C40"/>
      <sz val="10"/>
    </font>
  </fonts>
  <fills count="13">
    <fill>
      <patternFill/>
    </fill>
    <fill>
      <patternFill patternType="gray125"/>
    </fill>
    <fill>
      <patternFill patternType="solid">
        <fgColor rgb="002F0410"/>
      </patternFill>
    </fill>
    <fill>
      <patternFill patternType="solid">
        <fgColor rgb="00F5EDE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F0F0FF"/>
      </patternFill>
    </fill>
    <fill>
      <patternFill patternType="solid">
        <fgColor rgb="00F9F9F9"/>
      </patternFill>
    </fill>
    <fill>
      <patternFill patternType="solid">
        <fgColor rgb="00FFFFFF"/>
      </patternFill>
    </fill>
    <fill>
      <patternFill patternType="solid">
        <fgColor rgb="00F7F3F0"/>
      </patternFill>
    </fill>
    <fill>
      <patternFill patternType="solid">
        <fgColor rgb="00EDE5DB"/>
      </patternFill>
    </fill>
    <fill>
      <patternFill patternType="solid">
        <fgColor rgb="00FFFBE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/>
    </xf>
    <xf numFmtId="0" fontId="5" fillId="5" borderId="0" applyAlignment="1" pivotButton="0" quotePrefix="0" xfId="0">
      <alignment horizontal="left" vertical="center"/>
    </xf>
    <xf numFmtId="0" fontId="6" fillId="6" borderId="0" applyAlignment="1" pivotButton="0" quotePrefix="0" xfId="0">
      <alignment horizontal="left" vertical="center"/>
    </xf>
    <xf numFmtId="0" fontId="7" fillId="2" borderId="1" applyAlignment="1" pivotButton="0" quotePrefix="0" xfId="0">
      <alignment horizontal="center" vertical="center"/>
    </xf>
    <xf numFmtId="0" fontId="8" fillId="7" borderId="0" applyAlignment="1" pivotButton="0" quotePrefix="0" xfId="0">
      <alignment horizontal="left" vertical="center"/>
    </xf>
    <xf numFmtId="0" fontId="9" fillId="8" borderId="0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right" vertical="center"/>
    </xf>
    <xf numFmtId="164" fontId="10" fillId="3" borderId="1" applyAlignment="1" pivotButton="0" quotePrefix="0" xfId="0">
      <alignment horizontal="right" vertical="center"/>
    </xf>
    <xf numFmtId="164" fontId="12" fillId="3" borderId="1" applyAlignment="1" pivotButton="0" quotePrefix="0" xfId="0">
      <alignment horizontal="right" vertical="center"/>
    </xf>
    <xf numFmtId="165" fontId="12" fillId="9" borderId="1" applyAlignment="1" pivotButton="0" quotePrefix="0" xfId="0">
      <alignment horizontal="center" vertical="center"/>
    </xf>
    <xf numFmtId="0" fontId="10" fillId="10" borderId="1" applyAlignment="1" pivotButton="0" quotePrefix="0" xfId="0">
      <alignment horizontal="left" vertical="center"/>
    </xf>
    <xf numFmtId="0" fontId="11" fillId="10" borderId="1" applyAlignment="1" pivotButton="0" quotePrefix="0" xfId="0">
      <alignment horizontal="right" vertical="center"/>
    </xf>
    <xf numFmtId="164" fontId="10" fillId="11" borderId="1" applyAlignment="1" pivotButton="0" quotePrefix="0" xfId="0">
      <alignment horizontal="right" vertical="center"/>
    </xf>
    <xf numFmtId="164" fontId="12" fillId="11" borderId="1" applyAlignment="1" pivotButton="0" quotePrefix="0" xfId="0">
      <alignment horizontal="right" vertical="center"/>
    </xf>
    <xf numFmtId="165" fontId="12" fillId="10" borderId="1" applyAlignment="1" pivotButton="0" quotePrefix="0" xfId="0">
      <alignment horizontal="center" vertical="center"/>
    </xf>
    <xf numFmtId="164" fontId="11" fillId="10" borderId="1" applyAlignment="1" pivotButton="0" quotePrefix="0" xfId="0">
      <alignment horizontal="right" vertical="center"/>
    </xf>
    <xf numFmtId="164" fontId="11" fillId="9" borderId="1" applyAlignment="1" pivotButton="0" quotePrefix="0" xfId="0">
      <alignment horizontal="right" vertical="center"/>
    </xf>
    <xf numFmtId="0" fontId="7" fillId="2" borderId="1" applyAlignment="1" pivotButton="0" quotePrefix="0" xfId="0">
      <alignment horizontal="left" vertical="center"/>
    </xf>
    <xf numFmtId="0" fontId="12" fillId="3" borderId="1" applyAlignment="1" pivotButton="0" quotePrefix="0" xfId="0">
      <alignment horizontal="right" vertical="center"/>
    </xf>
    <xf numFmtId="165" fontId="13" fillId="3" borderId="1" applyAlignment="1" pivotButton="0" quotePrefix="0" xfId="0">
      <alignment horizontal="right" vertical="center"/>
    </xf>
    <xf numFmtId="0" fontId="14" fillId="12" borderId="0" applyAlignment="1" pivotButton="0" quotePrefix="0" xfId="0">
      <alignment horizontal="left" vertical="center"/>
    </xf>
    <xf numFmtId="164" fontId="15" fillId="9" borderId="1" applyAlignment="1" pivotButton="0" quotePrefix="0" xfId="0">
      <alignment horizontal="right" vertical="center"/>
    </xf>
    <xf numFmtId="3" fontId="11" fillId="9" borderId="1" applyAlignment="1" pivotButton="0" quotePrefix="0" xfId="0">
      <alignment horizontal="right" vertical="center"/>
    </xf>
    <xf numFmtId="165" fontId="10" fillId="9" borderId="1" applyAlignment="1" pivotButton="0" quotePrefix="0" xfId="0">
      <alignment horizontal="center" vertical="center"/>
    </xf>
    <xf numFmtId="164" fontId="15" fillId="10" borderId="1" applyAlignment="1" pivotButton="0" quotePrefix="0" xfId="0">
      <alignment horizontal="right" vertical="center"/>
    </xf>
    <xf numFmtId="3" fontId="11" fillId="10" borderId="1" applyAlignment="1" pivotButton="0" quotePrefix="0" xfId="0">
      <alignment horizontal="right" vertical="center"/>
    </xf>
    <xf numFmtId="165" fontId="10" fillId="10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right" vertical="center"/>
    </xf>
    <xf numFmtId="164" fontId="16" fillId="2" borderId="1" applyAlignment="1" pivotButton="0" quotePrefix="0" xfId="0">
      <alignment horizontal="right" vertical="center"/>
    </xf>
    <xf numFmtId="0" fontId="7" fillId="2" borderId="0" applyAlignment="1" pivotButton="0" quotePrefix="0" xfId="0">
      <alignment horizontal="left" vertical="center"/>
    </xf>
    <xf numFmtId="0" fontId="17" fillId="3" borderId="0" applyAlignment="1" pivotButton="0" quotePrefix="0" xfId="0">
      <alignment horizontal="left" vertical="center"/>
    </xf>
    <xf numFmtId="0" fontId="10" fillId="9" borderId="0" applyAlignment="1" pivotButton="0" quotePrefix="0" xfId="0">
      <alignment horizontal="left" vertical="center" wrapText="1"/>
    </xf>
  </cellXfs>
  <cellStyles count="1">
    <cellStyle name="Normal" xfId="0" builtinId="0" hidden="0"/>
  </cellStyles>
  <dxfs count="3">
    <dxf>
      <font>
        <b val="1"/>
        <color rgb="00276221"/>
      </font>
      <fill>
        <patternFill>
          <bgColor rgb="00C6EFCE"/>
        </patternFill>
      </fill>
    </dxf>
    <dxf>
      <font>
        <b val="1"/>
        <color rgb="009C6500"/>
      </font>
      <fill>
        <patternFill>
          <bgColor rgb="00FFEB9C"/>
        </patternFill>
      </fill>
    </dxf>
    <dxf>
      <font>
        <b val="1"/>
        <color rgb="009C0006"/>
      </font>
      <fill>
        <patternFill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F0410"/>
    <outlinePr summaryBelow="1" summaryRight="1"/>
    <pageSetUpPr/>
  </sheetPr>
  <dimension ref="A1:I28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3" customWidth="1" min="7" max="7"/>
    <col width="11" customWidth="1" min="8" max="8"/>
    <col width="11" customWidth="1" min="9" max="9"/>
  </cols>
  <sheetData>
    <row r="1" ht="34" customHeight="1">
      <c r="A1" s="1" t="inlineStr">
        <is>
          <t>Treatment Profitability Analyzer</t>
        </is>
      </c>
    </row>
    <row r="2" ht="18" customHeight="1">
      <c r="A2" s="2" t="inlineStr">
        <is>
          <t>Enter treatment price and direct costs — formulas calculate profit and margin automatically</t>
        </is>
      </c>
    </row>
    <row r="3" ht="22" customHeight="1">
      <c r="A3" s="3" t="inlineStr">
        <is>
          <t>Rating System →</t>
        </is>
      </c>
      <c r="C3" s="4" t="inlineStr">
        <is>
          <t xml:space="preserve">  ● 70%+  Excellent</t>
        </is>
      </c>
      <c r="E3" s="5" t="inlineStr">
        <is>
          <t xml:space="preserve">  ● 50–69%  Healthy</t>
        </is>
      </c>
      <c r="G3" s="6" t="inlineStr">
        <is>
          <t xml:space="preserve">  ● Below 50%  Needs Review</t>
        </is>
      </c>
    </row>
    <row r="4" ht="8" customHeight="1"/>
    <row r="5" ht="24" customHeight="1">
      <c r="A5" s="7" t="inlineStr">
        <is>
          <t>Treatment</t>
        </is>
      </c>
      <c r="B5" s="7" t="inlineStr">
        <is>
          <t>Price ($)</t>
        </is>
      </c>
      <c r="C5" s="7" t="inlineStr">
        <is>
          <t>COGS ($)</t>
        </is>
      </c>
      <c r="D5" s="7" t="inlineStr">
        <is>
          <t>Supplies ($)</t>
        </is>
      </c>
      <c r="E5" s="7" t="inlineStr">
        <is>
          <t>Labor ($)</t>
        </is>
      </c>
      <c r="F5" s="7" t="inlineStr">
        <is>
          <t>Commission ($)</t>
        </is>
      </c>
      <c r="G5" s="7" t="inlineStr">
        <is>
          <t>Total Cost ($)</t>
        </is>
      </c>
      <c r="H5" s="7" t="inlineStr">
        <is>
          <t>Profit ($)</t>
        </is>
      </c>
      <c r="I5" s="7" t="inlineStr">
        <is>
          <t>Margin %</t>
        </is>
      </c>
    </row>
    <row r="6" ht="15" customHeight="1">
      <c r="A6" s="8" t="inlineStr">
        <is>
          <t>← Blue cells are inputs  |  Enter price and costs for each treatment</t>
        </is>
      </c>
      <c r="G6" s="9" t="inlineStr">
        <is>
          <t>← Calculated automatically — do not edit</t>
        </is>
      </c>
    </row>
    <row r="7" ht="20" customHeight="1">
      <c r="A7" s="10" t="inlineStr">
        <is>
          <t>Botox / Nuceiva</t>
        </is>
      </c>
      <c r="B7" s="11" t="n"/>
      <c r="C7" s="11" t="n"/>
      <c r="D7" s="11" t="n"/>
      <c r="E7" s="11" t="n"/>
      <c r="F7" s="11" t="n"/>
      <c r="G7" s="12">
        <f>C7+D7+E7+F7</f>
        <v/>
      </c>
      <c r="H7" s="13">
        <f>IF(B7=0,"-",B7-(C7+D7+E7+F7))</f>
        <v/>
      </c>
      <c r="I7" s="14">
        <f>IF(B7=0,"-",(B7-(C7+D7+E7+F7))/B7)</f>
        <v/>
      </c>
    </row>
    <row r="8" ht="20" customHeight="1">
      <c r="A8" s="15" t="inlineStr">
        <is>
          <t>Dermal Filler</t>
        </is>
      </c>
      <c r="B8" s="16" t="n"/>
      <c r="C8" s="16" t="n"/>
      <c r="D8" s="16" t="n"/>
      <c r="E8" s="16" t="n"/>
      <c r="F8" s="16" t="n"/>
      <c r="G8" s="17">
        <f>C8+D8+E8+F8</f>
        <v/>
      </c>
      <c r="H8" s="18">
        <f>IF(B8=0,"-",B8-(C8+D8+E8+F8))</f>
        <v/>
      </c>
      <c r="I8" s="19">
        <f>IF(B8=0,"-",(B8-(C8+D8+E8+F8))/B8)</f>
        <v/>
      </c>
    </row>
    <row r="9" ht="20" customHeight="1">
      <c r="A9" s="10" t="inlineStr">
        <is>
          <t>Sculptra</t>
        </is>
      </c>
      <c r="B9" s="11" t="n"/>
      <c r="C9" s="11" t="n"/>
      <c r="D9" s="11" t="n"/>
      <c r="E9" s="11" t="n"/>
      <c r="F9" s="11" t="n"/>
      <c r="G9" s="12">
        <f>C9+D9+E9+F9</f>
        <v/>
      </c>
      <c r="H9" s="13">
        <f>IF(B9=0,"-",B9-(C9+D9+E9+F9))</f>
        <v/>
      </c>
      <c r="I9" s="14">
        <f>IF(B9=0,"-",(B9-(C9+D9+E9+F9))/B9)</f>
        <v/>
      </c>
    </row>
    <row r="10" ht="20" customHeight="1">
      <c r="A10" s="15" t="inlineStr">
        <is>
          <t>Morpheus8 Face</t>
        </is>
      </c>
      <c r="B10" s="20" t="n">
        <v>1000</v>
      </c>
      <c r="C10" s="20" t="n">
        <v>120</v>
      </c>
      <c r="D10" s="20" t="n">
        <v>10</v>
      </c>
      <c r="E10" s="20" t="n">
        <v>50</v>
      </c>
      <c r="F10" s="20" t="n">
        <v>100</v>
      </c>
      <c r="G10" s="17">
        <f>C10+D10+E10+F10</f>
        <v/>
      </c>
      <c r="H10" s="18">
        <f>IF(B10=0,"-",B10-(C10+D10+E10+F10))</f>
        <v/>
      </c>
      <c r="I10" s="19">
        <f>IF(B10=0,"-",(B10-(C10+D10+E10+F10))/B10)</f>
        <v/>
      </c>
    </row>
    <row r="11" ht="20" customHeight="1">
      <c r="A11" s="10" t="inlineStr">
        <is>
          <t>Morpheus8 Body</t>
        </is>
      </c>
      <c r="B11" s="11" t="n"/>
      <c r="C11" s="11" t="n"/>
      <c r="D11" s="11" t="n"/>
      <c r="E11" s="11" t="n"/>
      <c r="F11" s="11" t="n"/>
      <c r="G11" s="12">
        <f>C11+D11+E11+F11</f>
        <v/>
      </c>
      <c r="H11" s="13">
        <f>IF(B11=0,"-",B11-(C11+D11+E11+F11))</f>
        <v/>
      </c>
      <c r="I11" s="14">
        <f>IF(B11=0,"-",(B11-(C11+D11+E11+F11))/B11)</f>
        <v/>
      </c>
    </row>
    <row r="12" ht="20" customHeight="1">
      <c r="A12" s="15" t="inlineStr">
        <is>
          <t>Lumecca (IPL)</t>
        </is>
      </c>
      <c r="B12" s="16" t="n"/>
      <c r="C12" s="16" t="n"/>
      <c r="D12" s="16" t="n"/>
      <c r="E12" s="16" t="n"/>
      <c r="F12" s="16" t="n"/>
      <c r="G12" s="17">
        <f>C12+D12+E12+F12</f>
        <v/>
      </c>
      <c r="H12" s="18">
        <f>IF(B12=0,"-",B12-(C12+D12+E12+F12))</f>
        <v/>
      </c>
      <c r="I12" s="19">
        <f>IF(B12=0,"-",(B12-(C12+D12+E12+F12))/B12)</f>
        <v/>
      </c>
    </row>
    <row r="13" ht="20" customHeight="1">
      <c r="A13" s="10" t="inlineStr">
        <is>
          <t>Forma (RF)</t>
        </is>
      </c>
      <c r="B13" s="11" t="n"/>
      <c r="C13" s="11" t="n"/>
      <c r="D13" s="11" t="n"/>
      <c r="E13" s="11" t="n"/>
      <c r="F13" s="11" t="n"/>
      <c r="G13" s="12">
        <f>C13+D13+E13+F13</f>
        <v/>
      </c>
      <c r="H13" s="13">
        <f>IF(B13=0,"-",B13-(C13+D13+E13+F13))</f>
        <v/>
      </c>
      <c r="I13" s="14">
        <f>IF(B13=0,"-",(B13-(C13+D13+E13+F13))/B13)</f>
        <v/>
      </c>
    </row>
    <row r="14" ht="20" customHeight="1">
      <c r="A14" s="15" t="inlineStr">
        <is>
          <t>Diolaze (Laser Hair)</t>
        </is>
      </c>
      <c r="B14" s="16" t="n"/>
      <c r="C14" s="16" t="n"/>
      <c r="D14" s="16" t="n"/>
      <c r="E14" s="16" t="n"/>
      <c r="F14" s="16" t="n"/>
      <c r="G14" s="17">
        <f>C14+D14+E14+F14</f>
        <v/>
      </c>
      <c r="H14" s="18">
        <f>IF(B14=0,"-",B14-(C14+D14+E14+F14))</f>
        <v/>
      </c>
      <c r="I14" s="19">
        <f>IF(B14=0,"-",(B14-(C14+D14+E14+F14))/B14)</f>
        <v/>
      </c>
    </row>
    <row r="15" ht="20" customHeight="1">
      <c r="A15" s="10" t="inlineStr">
        <is>
          <t>HydraFacial</t>
        </is>
      </c>
      <c r="B15" s="11" t="n"/>
      <c r="C15" s="11" t="n"/>
      <c r="D15" s="11" t="n"/>
      <c r="E15" s="11" t="n"/>
      <c r="F15" s="11" t="n"/>
      <c r="G15" s="12">
        <f>C15+D15+E15+F15</f>
        <v/>
      </c>
      <c r="H15" s="13">
        <f>IF(B15=0,"-",B15-(C15+D15+E15+F15))</f>
        <v/>
      </c>
      <c r="I15" s="14">
        <f>IF(B15=0,"-",(B15-(C15+D15+E15+F15))/B15)</f>
        <v/>
      </c>
    </row>
    <row r="16" ht="20" customHeight="1">
      <c r="A16" s="15" t="inlineStr">
        <is>
          <t>Chemical Peel</t>
        </is>
      </c>
      <c r="B16" s="16" t="n"/>
      <c r="C16" s="16" t="n"/>
      <c r="D16" s="16" t="n"/>
      <c r="E16" s="16" t="n"/>
      <c r="F16" s="16" t="n"/>
      <c r="G16" s="17">
        <f>C16+D16+E16+F16</f>
        <v/>
      </c>
      <c r="H16" s="18">
        <f>IF(B16=0,"-",B16-(C16+D16+E16+F16))</f>
        <v/>
      </c>
      <c r="I16" s="19">
        <f>IF(B16=0,"-",(B16-(C16+D16+E16+F16))/B16)</f>
        <v/>
      </c>
    </row>
    <row r="17" ht="20" customHeight="1">
      <c r="A17" s="10" t="inlineStr">
        <is>
          <t>Microneedling</t>
        </is>
      </c>
      <c r="B17" s="11" t="n"/>
      <c r="C17" s="11" t="n"/>
      <c r="D17" s="11" t="n"/>
      <c r="E17" s="11" t="n"/>
      <c r="F17" s="11" t="n"/>
      <c r="G17" s="12">
        <f>C17+D17+E17+F17</f>
        <v/>
      </c>
      <c r="H17" s="13">
        <f>IF(B17=0,"-",B17-(C17+D17+E17+F17))</f>
        <v/>
      </c>
      <c r="I17" s="14">
        <f>IF(B17=0,"-",(B17-(C17+D17+E17+F17))/B17)</f>
        <v/>
      </c>
    </row>
    <row r="18" ht="20" customHeight="1">
      <c r="A18" s="15" t="inlineStr">
        <is>
          <t>PRF Treatment</t>
        </is>
      </c>
      <c r="B18" s="16" t="n"/>
      <c r="C18" s="16" t="n"/>
      <c r="D18" s="16" t="n"/>
      <c r="E18" s="16" t="n"/>
      <c r="F18" s="16" t="n"/>
      <c r="G18" s="17">
        <f>C18+D18+E18+F18</f>
        <v/>
      </c>
      <c r="H18" s="18">
        <f>IF(B18=0,"-",B18-(C18+D18+E18+F18))</f>
        <v/>
      </c>
      <c r="I18" s="19">
        <f>IF(B18=0,"-",(B18-(C18+D18+E18+F18))/B18)</f>
        <v/>
      </c>
    </row>
    <row r="19" ht="20" customHeight="1">
      <c r="A19" s="10" t="inlineStr">
        <is>
          <t>IV Therapy</t>
        </is>
      </c>
      <c r="B19" s="11" t="n"/>
      <c r="C19" s="11" t="n"/>
      <c r="D19" s="11" t="n"/>
      <c r="E19" s="11" t="n"/>
      <c r="F19" s="11" t="n"/>
      <c r="G19" s="12">
        <f>C19+D19+E19+F19</f>
        <v/>
      </c>
      <c r="H19" s="13">
        <f>IF(B19=0,"-",B19-(C19+D19+E19+F19))</f>
        <v/>
      </c>
      <c r="I19" s="14">
        <f>IF(B19=0,"-",(B19-(C19+D19+E19+F19))/B19)</f>
        <v/>
      </c>
    </row>
    <row r="20" ht="20" customHeight="1">
      <c r="A20" s="15" t="inlineStr">
        <is>
          <t>Medical Weight Loss</t>
        </is>
      </c>
      <c r="B20" s="16" t="n"/>
      <c r="C20" s="16" t="n"/>
      <c r="D20" s="16" t="n"/>
      <c r="E20" s="16" t="n"/>
      <c r="F20" s="16" t="n"/>
      <c r="G20" s="17">
        <f>C20+D20+E20+F20</f>
        <v/>
      </c>
      <c r="H20" s="18">
        <f>IF(B20=0,"-",B20-(C20+D20+E20+F20))</f>
        <v/>
      </c>
      <c r="I20" s="19">
        <f>IF(B20=0,"-",(B20-(C20+D20+E20+F20))/B20)</f>
        <v/>
      </c>
    </row>
    <row r="21" ht="20" customHeight="1">
      <c r="A21" s="10" t="inlineStr">
        <is>
          <t>Facial</t>
        </is>
      </c>
      <c r="B21" s="11" t="n"/>
      <c r="C21" s="11" t="n"/>
      <c r="D21" s="11" t="n"/>
      <c r="E21" s="11" t="n"/>
      <c r="F21" s="11" t="n"/>
      <c r="G21" s="12">
        <f>C21+D21+E21+F21</f>
        <v/>
      </c>
      <c r="H21" s="13">
        <f>IF(B21=0,"-",B21-(C21+D21+E21+F21))</f>
        <v/>
      </c>
      <c r="I21" s="14">
        <f>IF(B21=0,"-",(B21-(C21+D21+E21+F21))/B21)</f>
        <v/>
      </c>
    </row>
    <row r="22" ht="20" customHeight="1">
      <c r="A22" s="10" t="n"/>
      <c r="B22" s="21" t="n"/>
      <c r="C22" s="21" t="n"/>
      <c r="D22" s="21" t="n"/>
      <c r="E22" s="21" t="n"/>
      <c r="F22" s="21" t="n"/>
      <c r="G22" s="12">
        <f>C22+D22+E22+F22</f>
        <v/>
      </c>
      <c r="H22" s="13">
        <f>IF(B22=0,"-",B22-(C22+D22+E22+F22))</f>
        <v/>
      </c>
      <c r="I22" s="14">
        <f>IF(B22=0,"-",(B22-(C22+D22+E22+F22))/B22)</f>
        <v/>
      </c>
    </row>
    <row r="23" ht="20" customHeight="1">
      <c r="A23" s="15" t="n"/>
      <c r="B23" s="20" t="n"/>
      <c r="C23" s="20" t="n"/>
      <c r="D23" s="20" t="n"/>
      <c r="E23" s="20" t="n"/>
      <c r="F23" s="20" t="n"/>
      <c r="G23" s="17">
        <f>C23+D23+E23+F23</f>
        <v/>
      </c>
      <c r="H23" s="18">
        <f>IF(B23=0,"-",B23-(C23+D23+E23+F23))</f>
        <v/>
      </c>
      <c r="I23" s="19">
        <f>IF(B23=0,"-",(B23-(C23+D23+E23+F23))/B23)</f>
        <v/>
      </c>
    </row>
    <row r="24" ht="20" customHeight="1">
      <c r="A24" s="10" t="n"/>
      <c r="B24" s="21" t="n"/>
      <c r="C24" s="21" t="n"/>
      <c r="D24" s="21" t="n"/>
      <c r="E24" s="21" t="n"/>
      <c r="F24" s="21" t="n"/>
      <c r="G24" s="12">
        <f>C24+D24+E24+F24</f>
        <v/>
      </c>
      <c r="H24" s="13">
        <f>IF(B24=0,"-",B24-(C24+D24+E24+F24))</f>
        <v/>
      </c>
      <c r="I24" s="14">
        <f>IF(B24=0,"-",(B24-(C24+D24+E24+F24))/B24)</f>
        <v/>
      </c>
    </row>
    <row r="25" ht="20" customHeight="1">
      <c r="A25" s="15" t="n"/>
      <c r="B25" s="20" t="n"/>
      <c r="C25" s="20" t="n"/>
      <c r="D25" s="20" t="n"/>
      <c r="E25" s="20" t="n"/>
      <c r="F25" s="20" t="n"/>
      <c r="G25" s="17">
        <f>C25+D25+E25+F25</f>
        <v/>
      </c>
      <c r="H25" s="18">
        <f>IF(B25=0,"-",B25-(C25+D25+E25+F25))</f>
        <v/>
      </c>
      <c r="I25" s="19">
        <f>IF(B25=0,"-",(B25-(C25+D25+E25+F25))/B25)</f>
        <v/>
      </c>
    </row>
    <row r="26" ht="20" customHeight="1">
      <c r="A26" s="10" t="n"/>
      <c r="B26" s="21" t="n"/>
      <c r="C26" s="21" t="n"/>
      <c r="D26" s="21" t="n"/>
      <c r="E26" s="21" t="n"/>
      <c r="F26" s="21" t="n"/>
      <c r="G26" s="12">
        <f>C26+D26+E26+F26</f>
        <v/>
      </c>
      <c r="H26" s="13">
        <f>IF(B26=0,"-",B26-(C26+D26+E26+F26))</f>
        <v/>
      </c>
      <c r="I26" s="14">
        <f>IF(B26=0,"-",(B26-(C26+D26+E26+F26))/B26)</f>
        <v/>
      </c>
    </row>
    <row r="28" ht="24" customHeight="1">
      <c r="A28" s="22" t="inlineStr">
        <is>
          <t>PORTFOLIO SUMMARY</t>
        </is>
      </c>
      <c r="G28" s="23" t="inlineStr">
        <is>
          <t>Portfolio Avg Margin:</t>
        </is>
      </c>
      <c r="H28" s="24">
        <f>IFERROR(AVERAGEIF(I7:I26,"&lt;&gt;-",I7:I26),"-")</f>
        <v/>
      </c>
    </row>
  </sheetData>
  <mergeCells count="10">
    <mergeCell ref="A2:I2"/>
    <mergeCell ref="A28:F28"/>
    <mergeCell ref="G6:I6"/>
    <mergeCell ref="A1:I1"/>
    <mergeCell ref="A6:F6"/>
    <mergeCell ref="G3:I3"/>
    <mergeCell ref="H28:I28"/>
    <mergeCell ref="C3:D3"/>
    <mergeCell ref="A3:B3"/>
    <mergeCell ref="E3:F3"/>
  </mergeCells>
  <conditionalFormatting sqref="I7:I26">
    <cfRule type="cellIs" priority="1" operator="greaterThanOrEqual" dxfId="0">
      <formula>0.7</formula>
    </cfRule>
    <cfRule type="cellIs" priority="2" operator="between" dxfId="1">
      <formula>0.5</formula>
      <formula>0.6999</formula>
    </cfRule>
    <cfRule type="cellIs" priority="3" operator="lessThan" dxfId="2">
      <formula>0.5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A0618"/>
    <outlinePr summaryBelow="1" summaryRight="1"/>
    <pageSetUpPr/>
  </sheetPr>
  <dimension ref="A1:E2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16" customWidth="1" min="3" max="3"/>
    <col width="22" customWidth="1" min="4" max="4"/>
    <col width="13" customWidth="1" min="5" max="5"/>
  </cols>
  <sheetData>
    <row r="1" ht="34" customHeight="1">
      <c r="A1" s="1" t="inlineStr">
        <is>
          <t>Monthly Profit Contribution</t>
        </is>
      </c>
    </row>
    <row r="2" ht="18" customHeight="1">
      <c r="A2" s="2" t="inlineStr">
        <is>
          <t>Enter monthly volume per treatment to see which services are driving the most profit</t>
        </is>
      </c>
    </row>
    <row r="3" ht="18" customHeight="1">
      <c r="A3" s="25" t="inlineStr">
        <is>
          <t>Profit / Treatment pulls automatically from the Treatment Profitability tab — complete that tab first.</t>
        </is>
      </c>
    </row>
    <row r="4" ht="8" customHeight="1"/>
    <row r="5" ht="24" customHeight="1">
      <c r="A5" s="7" t="inlineStr">
        <is>
          <t>Treatment</t>
        </is>
      </c>
      <c r="B5" s="7" t="inlineStr">
        <is>
          <t>Profit / Treatment ($)</t>
        </is>
      </c>
      <c r="C5" s="7" t="inlineStr">
        <is>
          <t>Monthly Volume</t>
        </is>
      </c>
      <c r="D5" s="7" t="inlineStr">
        <is>
          <t>Monthly Contribution ($)</t>
        </is>
      </c>
      <c r="E5" s="7" t="inlineStr">
        <is>
          <t>% of Total Profit</t>
        </is>
      </c>
    </row>
    <row r="6" ht="20" customHeight="1">
      <c r="A6" s="10">
        <f>'Treatment Profitability'!A7</f>
        <v/>
      </c>
      <c r="B6" s="26">
        <f>'Treatment Profitability'!H7</f>
        <v/>
      </c>
      <c r="C6" s="27" t="n"/>
      <c r="D6" s="13">
        <f>IF(OR(B6="-",C6="",C6=0),"-",B6*C6)</f>
        <v/>
      </c>
      <c r="E6" s="28">
        <f>IF(OR(D6="-",SUMIF(D6:D25,"&lt;&gt;-",D6:D25)=0),"-",D6/SUMIF(D6:D25,"&lt;&gt;-",D6:D25))</f>
        <v/>
      </c>
    </row>
    <row r="7" ht="20" customHeight="1">
      <c r="A7" s="15">
        <f>'Treatment Profitability'!A8</f>
        <v/>
      </c>
      <c r="B7" s="29">
        <f>'Treatment Profitability'!H8</f>
        <v/>
      </c>
      <c r="C7" s="30" t="n"/>
      <c r="D7" s="18">
        <f>IF(OR(B7="-",C7="",C7=0),"-",B7*C7)</f>
        <v/>
      </c>
      <c r="E7" s="31">
        <f>IF(OR(D7="-",SUMIF(D6:D25,"&lt;&gt;-",D6:D25)=0),"-",D7/SUMIF(D6:D25,"&lt;&gt;-",D6:D25))</f>
        <v/>
      </c>
    </row>
    <row r="8" ht="20" customHeight="1">
      <c r="A8" s="10">
        <f>'Treatment Profitability'!A9</f>
        <v/>
      </c>
      <c r="B8" s="26">
        <f>'Treatment Profitability'!H9</f>
        <v/>
      </c>
      <c r="C8" s="27" t="n"/>
      <c r="D8" s="13">
        <f>IF(OR(B8="-",C8="",C8=0),"-",B8*C8)</f>
        <v/>
      </c>
      <c r="E8" s="28">
        <f>IF(OR(D8="-",SUMIF(D6:D25,"&lt;&gt;-",D6:D25)=0),"-",D8/SUMIF(D6:D25,"&lt;&gt;-",D6:D25))</f>
        <v/>
      </c>
    </row>
    <row r="9" ht="20" customHeight="1">
      <c r="A9" s="15">
        <f>'Treatment Profitability'!A10</f>
        <v/>
      </c>
      <c r="B9" s="29">
        <f>'Treatment Profitability'!H10</f>
        <v/>
      </c>
      <c r="C9" s="30" t="n"/>
      <c r="D9" s="18">
        <f>IF(OR(B9="-",C9="",C9=0),"-",B9*C9)</f>
        <v/>
      </c>
      <c r="E9" s="31">
        <f>IF(OR(D9="-",SUMIF(D6:D25,"&lt;&gt;-",D6:D25)=0),"-",D9/SUMIF(D6:D25,"&lt;&gt;-",D6:D25))</f>
        <v/>
      </c>
    </row>
    <row r="10" ht="20" customHeight="1">
      <c r="A10" s="10">
        <f>'Treatment Profitability'!A11</f>
        <v/>
      </c>
      <c r="B10" s="26">
        <f>'Treatment Profitability'!H11</f>
        <v/>
      </c>
      <c r="C10" s="27" t="n"/>
      <c r="D10" s="13">
        <f>IF(OR(B10="-",C10="",C10=0),"-",B10*C10)</f>
        <v/>
      </c>
      <c r="E10" s="28">
        <f>IF(OR(D10="-",SUMIF(D6:D25,"&lt;&gt;-",D6:D25)=0),"-",D10/SUMIF(D6:D25,"&lt;&gt;-",D6:D25))</f>
        <v/>
      </c>
    </row>
    <row r="11" ht="20" customHeight="1">
      <c r="A11" s="15">
        <f>'Treatment Profitability'!A12</f>
        <v/>
      </c>
      <c r="B11" s="29">
        <f>'Treatment Profitability'!H12</f>
        <v/>
      </c>
      <c r="C11" s="30" t="n"/>
      <c r="D11" s="18">
        <f>IF(OR(B11="-",C11="",C11=0),"-",B11*C11)</f>
        <v/>
      </c>
      <c r="E11" s="31">
        <f>IF(OR(D11="-",SUMIF(D6:D25,"&lt;&gt;-",D6:D25)=0),"-",D11/SUMIF(D6:D25,"&lt;&gt;-",D6:D25))</f>
        <v/>
      </c>
    </row>
    <row r="12" ht="20" customHeight="1">
      <c r="A12" s="10">
        <f>'Treatment Profitability'!A13</f>
        <v/>
      </c>
      <c r="B12" s="26">
        <f>'Treatment Profitability'!H13</f>
        <v/>
      </c>
      <c r="C12" s="27" t="n"/>
      <c r="D12" s="13">
        <f>IF(OR(B12="-",C12="",C12=0),"-",B12*C12)</f>
        <v/>
      </c>
      <c r="E12" s="28">
        <f>IF(OR(D12="-",SUMIF(D6:D25,"&lt;&gt;-",D6:D25)=0),"-",D12/SUMIF(D6:D25,"&lt;&gt;-",D6:D25))</f>
        <v/>
      </c>
    </row>
    <row r="13" ht="20" customHeight="1">
      <c r="A13" s="15">
        <f>'Treatment Profitability'!A14</f>
        <v/>
      </c>
      <c r="B13" s="29">
        <f>'Treatment Profitability'!H14</f>
        <v/>
      </c>
      <c r="C13" s="30" t="n"/>
      <c r="D13" s="18">
        <f>IF(OR(B13="-",C13="",C13=0),"-",B13*C13)</f>
        <v/>
      </c>
      <c r="E13" s="31">
        <f>IF(OR(D13="-",SUMIF(D6:D25,"&lt;&gt;-",D6:D25)=0),"-",D13/SUMIF(D6:D25,"&lt;&gt;-",D6:D25))</f>
        <v/>
      </c>
    </row>
    <row r="14" ht="20" customHeight="1">
      <c r="A14" s="10">
        <f>'Treatment Profitability'!A15</f>
        <v/>
      </c>
      <c r="B14" s="26">
        <f>'Treatment Profitability'!H15</f>
        <v/>
      </c>
      <c r="C14" s="27" t="n"/>
      <c r="D14" s="13">
        <f>IF(OR(B14="-",C14="",C14=0),"-",B14*C14)</f>
        <v/>
      </c>
      <c r="E14" s="28">
        <f>IF(OR(D14="-",SUMIF(D6:D25,"&lt;&gt;-",D6:D25)=0),"-",D14/SUMIF(D6:D25,"&lt;&gt;-",D6:D25))</f>
        <v/>
      </c>
    </row>
    <row r="15" ht="20" customHeight="1">
      <c r="A15" s="15">
        <f>'Treatment Profitability'!A16</f>
        <v/>
      </c>
      <c r="B15" s="29">
        <f>'Treatment Profitability'!H16</f>
        <v/>
      </c>
      <c r="C15" s="30" t="n"/>
      <c r="D15" s="18">
        <f>IF(OR(B15="-",C15="",C15=0),"-",B15*C15)</f>
        <v/>
      </c>
      <c r="E15" s="31">
        <f>IF(OR(D15="-",SUMIF(D6:D25,"&lt;&gt;-",D6:D25)=0),"-",D15/SUMIF(D6:D25,"&lt;&gt;-",D6:D25))</f>
        <v/>
      </c>
    </row>
    <row r="16" ht="20" customHeight="1">
      <c r="A16" s="10">
        <f>'Treatment Profitability'!A17</f>
        <v/>
      </c>
      <c r="B16" s="26">
        <f>'Treatment Profitability'!H17</f>
        <v/>
      </c>
      <c r="C16" s="27" t="n"/>
      <c r="D16" s="13">
        <f>IF(OR(B16="-",C16="",C16=0),"-",B16*C16)</f>
        <v/>
      </c>
      <c r="E16" s="28">
        <f>IF(OR(D16="-",SUMIF(D6:D25,"&lt;&gt;-",D6:D25)=0),"-",D16/SUMIF(D6:D25,"&lt;&gt;-",D6:D25))</f>
        <v/>
      </c>
    </row>
    <row r="17" ht="20" customHeight="1">
      <c r="A17" s="15">
        <f>'Treatment Profitability'!A18</f>
        <v/>
      </c>
      <c r="B17" s="29">
        <f>'Treatment Profitability'!H18</f>
        <v/>
      </c>
      <c r="C17" s="30" t="n"/>
      <c r="D17" s="18">
        <f>IF(OR(B17="-",C17="",C17=0),"-",B17*C17)</f>
        <v/>
      </c>
      <c r="E17" s="31">
        <f>IF(OR(D17="-",SUMIF(D6:D25,"&lt;&gt;-",D6:D25)=0),"-",D17/SUMIF(D6:D25,"&lt;&gt;-",D6:D25))</f>
        <v/>
      </c>
    </row>
    <row r="18" ht="20" customHeight="1">
      <c r="A18" s="10">
        <f>'Treatment Profitability'!A19</f>
        <v/>
      </c>
      <c r="B18" s="26">
        <f>'Treatment Profitability'!H19</f>
        <v/>
      </c>
      <c r="C18" s="27" t="n"/>
      <c r="D18" s="13">
        <f>IF(OR(B18="-",C18="",C18=0),"-",B18*C18)</f>
        <v/>
      </c>
      <c r="E18" s="28">
        <f>IF(OR(D18="-",SUMIF(D6:D25,"&lt;&gt;-",D6:D25)=0),"-",D18/SUMIF(D6:D25,"&lt;&gt;-",D6:D25))</f>
        <v/>
      </c>
    </row>
    <row r="19" ht="20" customHeight="1">
      <c r="A19" s="15">
        <f>'Treatment Profitability'!A20</f>
        <v/>
      </c>
      <c r="B19" s="29">
        <f>'Treatment Profitability'!H20</f>
        <v/>
      </c>
      <c r="C19" s="30" t="n"/>
      <c r="D19" s="18">
        <f>IF(OR(B19="-",C19="",C19=0),"-",B19*C19)</f>
        <v/>
      </c>
      <c r="E19" s="31">
        <f>IF(OR(D19="-",SUMIF(D6:D25,"&lt;&gt;-",D6:D25)=0),"-",D19/SUMIF(D6:D25,"&lt;&gt;-",D6:D25))</f>
        <v/>
      </c>
    </row>
    <row r="20" ht="20" customHeight="1">
      <c r="A20" s="10">
        <f>'Treatment Profitability'!A21</f>
        <v/>
      </c>
      <c r="B20" s="26">
        <f>'Treatment Profitability'!H21</f>
        <v/>
      </c>
      <c r="C20" s="27" t="n"/>
      <c r="D20" s="13">
        <f>IF(OR(B20="-",C20="",C20=0),"-",B20*C20)</f>
        <v/>
      </c>
      <c r="E20" s="28">
        <f>IF(OR(D20="-",SUMIF(D6:D25,"&lt;&gt;-",D6:D25)=0),"-",D20/SUMIF(D6:D25,"&lt;&gt;-",D6:D25))</f>
        <v/>
      </c>
    </row>
    <row r="21" ht="20" customHeight="1">
      <c r="A21" s="15">
        <f>'Treatment Profitability'!A22</f>
        <v/>
      </c>
      <c r="B21" s="29">
        <f>'Treatment Profitability'!H22</f>
        <v/>
      </c>
      <c r="C21" s="30" t="n"/>
      <c r="D21" s="18">
        <f>IF(OR(B21="-",C21="",C21=0),"-",B21*C21)</f>
        <v/>
      </c>
      <c r="E21" s="31">
        <f>IF(OR(D21="-",SUMIF(D6:D25,"&lt;&gt;-",D6:D25)=0),"-",D21/SUMIF(D6:D25,"&lt;&gt;-",D6:D25))</f>
        <v/>
      </c>
    </row>
    <row r="22" ht="20" customHeight="1">
      <c r="A22" s="10">
        <f>'Treatment Profitability'!A23</f>
        <v/>
      </c>
      <c r="B22" s="26">
        <f>'Treatment Profitability'!H23</f>
        <v/>
      </c>
      <c r="C22" s="27" t="n"/>
      <c r="D22" s="13">
        <f>IF(OR(B22="-",C22="",C22=0),"-",B22*C22)</f>
        <v/>
      </c>
      <c r="E22" s="28">
        <f>IF(OR(D22="-",SUMIF(D6:D25,"&lt;&gt;-",D6:D25)=0),"-",D22/SUMIF(D6:D25,"&lt;&gt;-",D6:D25))</f>
        <v/>
      </c>
    </row>
    <row r="23" ht="20" customHeight="1">
      <c r="A23" s="15">
        <f>'Treatment Profitability'!A24</f>
        <v/>
      </c>
      <c r="B23" s="29">
        <f>'Treatment Profitability'!H24</f>
        <v/>
      </c>
      <c r="C23" s="30" t="n"/>
      <c r="D23" s="18">
        <f>IF(OR(B23="-",C23="",C23=0),"-",B23*C23)</f>
        <v/>
      </c>
      <c r="E23" s="31">
        <f>IF(OR(D23="-",SUMIF(D6:D25,"&lt;&gt;-",D6:D25)=0),"-",D23/SUMIF(D6:D25,"&lt;&gt;-",D6:D25))</f>
        <v/>
      </c>
    </row>
    <row r="24" ht="20" customHeight="1">
      <c r="A24" s="10">
        <f>'Treatment Profitability'!A25</f>
        <v/>
      </c>
      <c r="B24" s="26">
        <f>'Treatment Profitability'!H25</f>
        <v/>
      </c>
      <c r="C24" s="27" t="n"/>
      <c r="D24" s="13">
        <f>IF(OR(B24="-",C24="",C24=0),"-",B24*C24)</f>
        <v/>
      </c>
      <c r="E24" s="28">
        <f>IF(OR(D24="-",SUMIF(D6:D25,"&lt;&gt;-",D6:D25)=0),"-",D24/SUMIF(D6:D25,"&lt;&gt;-",D6:D25))</f>
        <v/>
      </c>
    </row>
    <row r="25" ht="20" customHeight="1">
      <c r="A25" s="15">
        <f>'Treatment Profitability'!A26</f>
        <v/>
      </c>
      <c r="B25" s="29">
        <f>'Treatment Profitability'!H26</f>
        <v/>
      </c>
      <c r="C25" s="30" t="n"/>
      <c r="D25" s="18">
        <f>IF(OR(B25="-",C25="",C25=0),"-",B25*C25)</f>
        <v/>
      </c>
      <c r="E25" s="31">
        <f>IF(OR(D25="-",SUMIF(D6:D25,"&lt;&gt;-",D6:D25)=0),"-",D25/SUMIF(D6:D25,"&lt;&gt;-",D6:D25))</f>
        <v/>
      </c>
    </row>
    <row r="26" ht="26" customHeight="1">
      <c r="A26" s="32" t="inlineStr">
        <is>
          <t>TOTAL MONTHLY PROFIT</t>
        </is>
      </c>
      <c r="D26" s="33">
        <f>SUMIF(D6:D25,"&lt;&gt;-",D6:D25)</f>
        <v/>
      </c>
      <c r="E26" s="7" t="inlineStr">
        <is>
          <t>100%</t>
        </is>
      </c>
    </row>
  </sheetData>
  <mergeCells count="4">
    <mergeCell ref="A2:E2"/>
    <mergeCell ref="A1:E1"/>
    <mergeCell ref="A26:C26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666666"/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28" customWidth="1" min="1" max="1"/>
    <col width="62" customWidth="1" min="2" max="2"/>
  </cols>
  <sheetData>
    <row r="1" ht="32" customHeight="1">
      <c r="A1" s="1" t="inlineStr">
        <is>
          <t>How To Use This Spreadsheet</t>
        </is>
      </c>
    </row>
    <row r="2" ht="8" customHeight="1"/>
    <row r="3" ht="22" customHeight="1">
      <c r="A3" s="34" t="inlineStr">
        <is>
          <t>STEP 1 — TREATMENT PROFITABILITY</t>
        </is>
      </c>
    </row>
    <row r="4" ht="18" customHeight="1">
      <c r="A4" s="35" t="inlineStr">
        <is>
          <t>Treatment Name</t>
        </is>
      </c>
      <c r="B4" s="36" t="inlineStr">
        <is>
          <t>Enter the name of each treatment (e.g. Morpheus8 Face, Botox, HydraFacial).</t>
        </is>
      </c>
    </row>
    <row r="5" ht="18" customHeight="1">
      <c r="A5" s="35" t="inlineStr">
        <is>
          <t>Price ($)</t>
        </is>
      </c>
      <c r="B5" s="36" t="inlineStr">
        <is>
          <t>What the patient pays. Blue cells = user input.</t>
        </is>
      </c>
    </row>
    <row r="6" ht="18" customHeight="1">
      <c r="A6" s="35" t="inlineStr">
        <is>
          <t>COGS ($)</t>
        </is>
      </c>
      <c r="B6" s="36" t="inlineStr">
        <is>
          <t>Items directly consumed: injectables, device tips, PRF tubes, exosomes, cannulas.</t>
        </is>
      </c>
    </row>
    <row r="7" ht="18" customHeight="1">
      <c r="A7" s="35" t="inlineStr">
        <is>
          <t>Supplies ($)</t>
        </is>
      </c>
      <c r="B7" s="36" t="inlineStr">
        <is>
          <t>Small consumables: gloves, gauze, alcohol pads, numbing cream, needles, syringes.</t>
        </is>
      </c>
    </row>
    <row r="8" ht="18" customHeight="1">
      <c r="A8" s="35" t="inlineStr">
        <is>
          <t>Labor ($)</t>
        </is>
      </c>
      <c r="B8" s="36" t="inlineStr">
        <is>
          <t>Provider labor cost. Formula: Treatment Time (hrs) × Hourly Cost. Example: 60-min treatment, $50/hr cost = $50 labor.</t>
        </is>
      </c>
    </row>
    <row r="9" ht="18" customHeight="1">
      <c r="A9" s="35" t="inlineStr">
        <is>
          <t>Commission ($)</t>
        </is>
      </c>
      <c r="B9" s="36" t="inlineStr">
        <is>
          <t>Percentage commission or flat-rate bonus paid to the provider. Example: 10% on $1,000 = $100.</t>
        </is>
      </c>
    </row>
    <row r="10" ht="18" customHeight="1">
      <c r="A10" s="35" t="inlineStr">
        <is>
          <t>Total Cost</t>
        </is>
      </c>
      <c r="B10" s="36" t="inlineStr">
        <is>
          <t>Auto-calculated: COGS + Supplies + Labor + Commission.</t>
        </is>
      </c>
    </row>
    <row r="11" ht="18" customHeight="1">
      <c r="A11" s="35" t="inlineStr">
        <is>
          <t>Profit</t>
        </is>
      </c>
      <c r="B11" s="36" t="inlineStr">
        <is>
          <t>Auto-calculated: Price − Total Cost.</t>
        </is>
      </c>
    </row>
    <row r="12" ht="18" customHeight="1">
      <c r="A12" s="35" t="inlineStr">
        <is>
          <t>Margin %</t>
        </is>
      </c>
      <c r="B12" s="36" t="inlineStr">
        <is>
          <t>Auto-calculated: Profit ÷ Price. Color-coded automatically.</t>
        </is>
      </c>
    </row>
    <row r="13" ht="8" customHeight="1"/>
    <row r="14" ht="22" customHeight="1">
      <c r="A14" s="34" t="inlineStr">
        <is>
          <t>PROFITABILITY RATING SYSTEM</t>
        </is>
      </c>
    </row>
    <row r="15" ht="18" customHeight="1">
      <c r="A15" s="35" t="inlineStr">
        <is>
          <t>Green — 70%+ Margin</t>
        </is>
      </c>
      <c r="B15" s="36" t="inlineStr">
        <is>
          <t>Excellent. Prioritize marketing and volume for this treatment.</t>
        </is>
      </c>
    </row>
    <row r="16" ht="18" customHeight="1">
      <c r="A16" s="35" t="inlineStr">
        <is>
          <t>Yellow — 50–69% Margin</t>
        </is>
      </c>
      <c r="B16" s="36" t="inlineStr">
        <is>
          <t>Healthy. Monitor costs and consider a modest price review.</t>
        </is>
      </c>
    </row>
    <row r="17" ht="18" customHeight="1">
      <c r="A17" s="35" t="inlineStr">
        <is>
          <t>Red — Below 50% Margin</t>
        </is>
      </c>
      <c r="B17" s="36" t="inlineStr">
        <is>
          <t>Needs review. Evaluate pricing, costs, or whether to continue offering.</t>
        </is>
      </c>
    </row>
    <row r="18" ht="8" customHeight="1"/>
    <row r="19" ht="22" customHeight="1">
      <c r="A19" s="34" t="inlineStr">
        <is>
          <t>STEP 2 — MONTHLY CONTRIBUTION</t>
        </is>
      </c>
    </row>
    <row r="20" ht="18" customHeight="1">
      <c r="A20" s="35" t="inlineStr">
        <is>
          <t>Profit / Treatment</t>
        </is>
      </c>
      <c r="B20" s="36" t="inlineStr">
        <is>
          <t>Pulls automatically from the Profitability tab (green text = cross-sheet reference).</t>
        </is>
      </c>
    </row>
    <row r="21" ht="18" customHeight="1">
      <c r="A21" s="35" t="inlineStr">
        <is>
          <t>Monthly Volume</t>
        </is>
      </c>
      <c r="B21" s="36" t="inlineStr">
        <is>
          <t>Enter how many times you perform this treatment per month. Blue = user input.</t>
        </is>
      </c>
    </row>
    <row r="22" ht="18" customHeight="1">
      <c r="A22" s="35" t="inlineStr">
        <is>
          <t>Monthly Contribution</t>
        </is>
      </c>
      <c r="B22" s="36" t="inlineStr">
        <is>
          <t>Auto-calculated: Profit per Treatment × Monthly Volume.</t>
        </is>
      </c>
    </row>
    <row r="23" ht="18" customHeight="1">
      <c r="A23" s="35" t="inlineStr">
        <is>
          <t>% of Total Profit</t>
        </is>
      </c>
      <c r="B23" s="36" t="inlineStr">
        <is>
          <t>Shows what percentage of your total monthly profit this treatment contributes.</t>
        </is>
      </c>
    </row>
    <row r="24" ht="8" customHeight="1"/>
    <row r="25" ht="22" customHeight="1">
      <c r="A25" s="34" t="inlineStr">
        <is>
          <t>WHAT THIS HELPS YOU IDENTIFY</t>
        </is>
      </c>
    </row>
    <row r="26" ht="18" customHeight="1">
      <c r="A26" s="35" t="inlineStr">
        <is>
          <t>High-margin treatments</t>
        </is>
      </c>
      <c r="B26" s="36" t="inlineStr">
        <is>
          <t>70%+ margin = deserves more marketing, upsell focus, and priority scheduling.</t>
        </is>
      </c>
    </row>
    <row r="27" ht="18" customHeight="1">
      <c r="A27" s="35" t="inlineStr">
        <is>
          <t>High-volume treatments</t>
        </is>
      </c>
      <c r="B27" s="36" t="inlineStr">
        <is>
          <t>High volume x lower margin can still be a major profit driver.</t>
        </is>
      </c>
    </row>
    <row r="28" ht="18" customHeight="1">
      <c r="A28" s="35" t="inlineStr">
        <is>
          <t>Pricing opportunities</t>
        </is>
      </c>
      <c r="B28" s="36" t="inlineStr">
        <is>
          <t>Treatments below 50% margin may need a price increase or cost reduction.</t>
        </is>
      </c>
    </row>
    <row r="29" ht="18" customHeight="1">
      <c r="A29" s="35" t="inlineStr">
        <is>
          <t>Portfolio balance</t>
        </is>
      </c>
      <c r="B29" s="36" t="inlineStr">
        <is>
          <t>Understand which treatments actually carry your practice vs. which are break-even.</t>
        </is>
      </c>
    </row>
    <row r="30" ht="8" customHeight="1"/>
    <row r="31" ht="22" customHeight="1">
      <c r="A31" s="34" t="inlineStr">
        <is>
          <t>COLOR KEY</t>
        </is>
      </c>
    </row>
    <row r="32" ht="18" customHeight="1">
      <c r="A32" s="35" t="inlineStr">
        <is>
          <t>Blue text</t>
        </is>
      </c>
      <c r="B32" s="36" t="inlineStr">
        <is>
          <t>User input — enter your data here.</t>
        </is>
      </c>
    </row>
    <row r="33" ht="18" customHeight="1">
      <c r="A33" s="35" t="inlineStr">
        <is>
          <t>Black text</t>
        </is>
      </c>
      <c r="B33" s="36" t="inlineStr">
        <is>
          <t>Formula — calculated automatically. Do not edit.</t>
        </is>
      </c>
    </row>
    <row r="34" ht="18" customHeight="1">
      <c r="A34" s="35" t="inlineStr">
        <is>
          <t>Green text</t>
        </is>
      </c>
      <c r="B34" s="36" t="inlineStr">
        <is>
          <t>Cross-sheet reference — pulled from another tab automatically.</t>
        </is>
      </c>
    </row>
  </sheetData>
  <mergeCells count="6">
    <mergeCell ref="A25:B25"/>
    <mergeCell ref="A19:B19"/>
    <mergeCell ref="A14:B14"/>
    <mergeCell ref="A1:B1"/>
    <mergeCell ref="A31:B31"/>
    <mergeCell ref="A3:B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2026-06-17T23:09:16Z</dcterms:created>
  <dcterms:modified xmlns:dcterms="http://purl.org/dc/terms/" xmlns:xsi="http://www.w3.org/2001/XMLSchema-instance" xsi:type="dcterms:W3CDTF">2026-06-17T23:09:17Z</dcterms:modified>
</cp:coreProperties>
</file>