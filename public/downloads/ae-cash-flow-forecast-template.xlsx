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12-Month Forecast" state="visible" r:id="rId5"/>
    <sheet sheetId="3" name="13-Week Forecast" state="visible" r:id="rId6"/>
  </sheets>
  <calcPr calcId="171027"/>
</workbook>
</file>

<file path=xl/sharedStrings.xml><?xml version="1.0" encoding="utf-8"?>
<sst xmlns="http://schemas.openxmlformats.org/spreadsheetml/2006/main" count="90" uniqueCount="75">
  <si>
    <t>Cash Flow Forecast Template</t>
  </si>
  <si>
    <t>Aesthetic Executive — Member Resource</t>
  </si>
  <si>
    <t>This workbook forecasts CASH — money actually moving in and out of your bank account — not profit. A month can look profitable on your P&amp;L and still run the practice out of cash, if patient financing pays out slowly, or a big equipment payment lands the same week as payroll and rent.</t>
  </si>
  <si>
    <t>Two forecasts are included:</t>
  </si>
  <si>
    <t>•  12-Month Forecast — a rolling monthly view for planning the year ahead: seasonality, big purchases, tax due dates, and hiring.</t>
  </si>
  <si>
    <t>•  13-Week Forecast — a short-term, week-by-week view for the next quarter. This is where most real cash surprises show up, since expenses that look smooth on a monthly view often land in a single week.</t>
  </si>
  <si>
    <t/>
  </si>
  <si>
    <t>How to use each tab:</t>
  </si>
  <si>
    <t>1.  Set your Minimum Cash Reserve Target near the top — the cash cushion you never want to dip below.</t>
  </si>
  <si>
    <t>2.  Enter your Beginning Cash Balance for the first period (your real bank balance today).</t>
  </si>
  <si>
    <t>3.  Fill in expected cash inflows and outflows for each period. Every other period's Beginning Balance, the totals, Net Cash Flow, and Ending Balance calculate automatically.</t>
  </si>
  <si>
    <t>4.  Watch the "Cushion vs. Minimum Reserve" row. A negative number flags a period projected to dip below your target — while there's still time to act on it.</t>
  </si>
  <si>
    <t>Column B (Month 1 / Week 1) on each forecast tab is pre-filled with example numbers for a mid-size practice, so you can see the template working before you touch it. Clear those numbers and enter your own to get started. Month and week labels are placeholders — rename them to real dates.</t>
  </si>
  <si>
    <t>Cell color key:</t>
  </si>
  <si>
    <t>•  Blue text — enter your own number here.</t>
  </si>
  <si>
    <t>•  Black text — calculates automatically. Don't type over these cells.</t>
  </si>
  <si>
    <t>12-Month Cash Flow Forecast</t>
  </si>
  <si>
    <t>Minimum Cash Reserve Target ($)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</si>
  <si>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</si>
  <si>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</si>
  <si>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</si>
  <si>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</si>
  <si>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</si>
  <si>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</si>
  <si>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</si>
  <si>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</si>
  <si>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</si>
  <si>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</si>
  <si>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</si>
  <si>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</si>
  <si>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Beginning Cash Balance</t>
  </si>
  <si>
    <t>CASH INFLOWS</t>
  </si>
  <si>
    <t>Patient / Service Revenue Collected</t>
  </si>
  <si>
    <t>Membership &amp; Rewards Revenue</t>
  </si>
  <si>
    <t>Financing / Loan Proceeds</t>
  </si>
  <si>
    <t>Owner Contributions</t>
  </si>
  <si>
    <t>Other Income</t>
  </si>
  <si>
    <t>Total Cash Inflows</t>
  </si>
  <si>
    <t>CASH OUTFLOWS</t>
  </si>
  <si>
    <t>Payroll &amp; Benefits</t>
  </si>
  <si>
    <t>Rent &amp; Facility</t>
  </si>
  <si>
    <t>Product &amp; Supply Costs (COGS)</t>
  </si>
  <si>
    <t>Marketing &amp; Advertising</t>
  </si>
  <si>
    <t>Equipment / Loan Payments</t>
  </si>
  <si>
    <t>Insurance</t>
  </si>
  <si>
    <t>Software &amp; Subscriptions</t>
  </si>
  <si>
    <t>Professional Fees (Legal/Accounting)</t>
  </si>
  <si>
    <t>Taxes</t>
  </si>
  <si>
    <t>Owner Draws / Distributions</t>
  </si>
  <si>
    <t>Other Operating Expenses</t>
  </si>
  <si>
    <t>Total Cash Outflows</t>
  </si>
  <si>
    <t>Net Cash Flow</t>
  </si>
  <si>
    <t>Ending Cash Balance</t>
  </si>
  <si>
    <t>Cushion vs. Minimum Reserve</t>
  </si>
  <si>
    <t>13-Week Cash Flow Forecast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</si>
  <si>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</si>
  <si>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</si>
  <si>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</si>
  <si>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</si>
  <si>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</si>
  <si>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</si>
  <si>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</si>
  <si>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</si>
  <si>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</si>
  <si>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</si>
  <si>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</si>
  <si>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</si>
  <si>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</si>
  <si>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Revenue Collected (Cash, Card &amp; Financing Payouts)</t>
  </si>
  <si>
    <t>Other Inflows</t>
  </si>
  <si>
    <t>Payroll</t>
  </si>
  <si>
    <t>Product &amp; Supply Costs</t>
  </si>
  <si>
    <t>Marketing</t>
  </si>
  <si>
    <t>Debt / Loan Payments</t>
  </si>
  <si>
    <t>Owner Draws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</si>
</sst>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;($#,##0);&quot;-&quot;"/>
  </numFmts>
  <fonts count="11" x14ac:knownFonts="1">
    <font>
      <color theme="1"/>
      <family val="2"/>
      <scheme val="minor"/>
      <sz val="11"/>
      <name val="Calibri"/>
    </font>
    <font>
      <b/>
      <color rgb="FF4A3B2A"/>
      <sz val="18"/>
      <name val="Arial"/>
    </font>
    <font>
      <i/>
      <color rgb="FF6B5D4F"/>
      <sz val="11"/>
      <name val="Arial"/>
    </font>
    <font>
      <b/>
      <color rgb="FF000000"/>
      <sz val="10.5"/>
      <name val="Arial"/>
    </font>
    <font>
      <color rgb="FF000000"/>
      <sz val="10.5"/>
      <name val="Arial"/>
    </font>
    <font>
      <b/>
      <color rgb="FF4A3B2A"/>
      <sz val="15"/>
      <name val="Arial"/>
    </font>
    <font>
      <b/>
      <color rgb="FF000000"/>
      <sz val="10"/>
      <name val="Arial"/>
    </font>
    <font>
      <color rgb="FF0000FF"/>
      <sz val="10"/>
      <name val="Arial"/>
    </font>
    <font>
      <color rgb="FF000000"/>
      <sz val="10"/>
      <name val="Arial"/>
    </font>
    <font>
      <b/>
      <color rgb="FF4A3B2A"/>
      <sz val="10"/>
      <name val="Arial"/>
    </font>
    <font>
      <i/>
      <color rgb="FF000000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EFE8DC"/>
      </patternFill>
    </fill>
    <fill>
      <patternFill patternType="solid">
        <fgColor rgb="FFD9C9B0"/>
      </patternFill>
    </fill>
    <fill>
      <patternFill patternType="solid">
        <fgColor rgb="FFF7F2EA"/>
      </patternFill>
    </fill>
  </fills>
  <borders count="2">
    <border>
      <left/>
      <right/>
      <top/>
      <bottom/>
      <diagonal/>
    </border>
    <border>
      <left/>
      <right/>
      <top style="thin">
        <color rgb="FFA28C75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164" fontId="7" fillId="0" borderId="0" xfId="0" applyNumberFormat="1" applyFont="1" applyAlignment="1">
      <alignment horizontal="right"/>
    </xf>
    <xf numFmtId="0" fontId="8" fillId="2" borderId="0" xfId="0" applyFont="1" applyFill="1"/>
    <xf numFmtId="0" fontId="9" fillId="2" borderId="0" xfId="0" applyFont="1" applyFill="1" applyAlignment="1">
      <alignment horizontal="center"/>
    </xf>
    <xf numFmtId="164" fontId="8" fillId="0" borderId="0" xfId="0" applyNumberFormat="1" applyFont="1" applyAlignment="1">
      <alignment horizontal="right"/>
    </xf>
    <xf numFmtId="0" fontId="9" fillId="3" borderId="0" xfId="0" applyFont="1" applyFill="1" applyAlignment="1">
      <alignment horizontal="left"/>
    </xf>
    <xf numFmtId="0" fontId="8" fillId="0" borderId="0" xfId="0" applyFont="1"/>
    <xf numFmtId="164" fontId="6" fillId="4" borderId="1" xfId="0" applyNumberFormat="1" applyFont="1" applyFill="1" applyBorder="1" applyAlignment="1">
      <alignment horizontal="right"/>
    </xf>
    <xf numFmtId="164" fontId="6" fillId="0" borderId="0" xfId="0" applyNumberFormat="1" applyFont="1" applyAlignment="1">
      <alignment horizontal="right"/>
    </xf>
    <xf numFmtId="0" fontId="9" fillId="0" borderId="0" xfId="0" applyFont="1"/>
    <xf numFmtId="164" fontId="9" fillId="2" borderId="1" xfId="0" applyNumberFormat="1" applyFont="1" applyFill="1" applyBorder="1" applyAlignment="1">
      <alignment horizontal="right"/>
    </xf>
    <xf numFmtId="0" fontId="10" fillId="0" borderId="0" xfId="0" applyFont="1"/>
    <xf numFmtId="164" fontId="10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28C75"/>
  </sheetPr>
  <dimension ref="A1:A19"/>
  <sheetFormatPr defaultRowHeight="15" outlineLevelRow="0" outlineLevelCol="0" x14ac:dyDescent="55"/>
  <cols>
    <col min="1" max="1" width="10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ht="30" customHeight="1" spans="1:1" x14ac:dyDescent="0.25">
      <c r="A4" s="3" t="s">
        <v>2</v>
      </c>
    </row>
    <row r="5" spans="1:1" x14ac:dyDescent="0.25">
      <c r="A5" s="4" t="s">
        <v>3</v>
      </c>
    </row>
    <row r="6" ht="30" customHeight="1" spans="1:1" x14ac:dyDescent="0.25">
      <c r="A6" s="4" t="s">
        <v>4</v>
      </c>
    </row>
    <row r="7" ht="30" customHeight="1" spans="1:1" x14ac:dyDescent="0.25">
      <c r="A7" s="4" t="s">
        <v>5</v>
      </c>
    </row>
    <row r="8" spans="1:1" x14ac:dyDescent="0.25">
      <c r="A8" s="4" t="s">
        <v>6</v>
      </c>
    </row>
    <row r="9" spans="1:1" x14ac:dyDescent="0.25">
      <c r="A9" s="3" t="s">
        <v>7</v>
      </c>
    </row>
    <row r="10" ht="30" customHeight="1" spans="1:1" x14ac:dyDescent="0.25">
      <c r="A10" s="4" t="s">
        <v>8</v>
      </c>
    </row>
    <row r="11" spans="1:1" x14ac:dyDescent="0.25">
      <c r="A11" s="4" t="s">
        <v>9</v>
      </c>
    </row>
    <row r="12" ht="30" customHeight="1" spans="1:1" x14ac:dyDescent="0.25">
      <c r="A12" s="4" t="s">
        <v>10</v>
      </c>
    </row>
    <row r="13" ht="30" customHeight="1" spans="1:1" x14ac:dyDescent="0.25">
      <c r="A13" s="4" t="s">
        <v>11</v>
      </c>
    </row>
    <row r="14" spans="1:1" x14ac:dyDescent="0.25">
      <c r="A14" s="4" t="s">
        <v>6</v>
      </c>
    </row>
    <row r="15" ht="30" customHeight="1" spans="1:1" x14ac:dyDescent="0.25">
      <c r="A15" s="3" t="s">
        <v>12</v>
      </c>
    </row>
    <row r="16" spans="1:1" x14ac:dyDescent="0.25">
      <c r="A16" s="4" t="s">
        <v>6</v>
      </c>
    </row>
    <row r="17" spans="1:1" x14ac:dyDescent="0.25">
      <c r="A17" s="3" t="s">
        <v>13</v>
      </c>
    </row>
    <row r="18" spans="1:1" x14ac:dyDescent="0.25">
      <c r="A18" s="4" t="s">
        <v>14</v>
      </c>
    </row>
    <row r="19" spans="1:1" x14ac:dyDescent="0.25">
      <c r="A19" s="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28C75"/>
    <pageSetUpPr fitToPage="1"/>
  </sheetPr>
  <dimension ref="A1:M30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3" width="13" customWidth="1"/>
  </cols>
  <sheetData>
    <row r="1" spans="1:13" x14ac:dyDescent="0.25">
      <c r="A1" s="5" t="s">
        <v>16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3" spans="1:2" x14ac:dyDescent="0.25">
      <c r="A3" s="6" t="s">
        <v>17</v>
      </c>
      <c r="B3" s="7">
        <v>25000</v>
      </c>
    </row>
    <row r="5" spans="1:13" x14ac:dyDescent="0.25">
      <c r="A5" s="8" t="s">
        <v>6</v>
      </c>
      <c r="B5" s="9" t="s">
        <v>18</v>
      </c>
      <c r="C5" s="9" t="s">
        <v>19</v>
      </c>
      <c r="D5" s="9" t="s">
        <v>20</v>
      </c>
      <c r="E5" s="9" t="s">
        <v>21</v>
      </c>
      <c r="F5" s="9" t="s">
        <v>22</v>
      </c>
      <c r="G5" s="9" t="s">
        <v>23</v>
      </c>
      <c r="H5" s="9" t="s">
        <v>24</v>
      </c>
      <c r="I5" s="9" t="s">
        <v>25</v>
      </c>
      <c r="J5" s="9" t="s">
        <v>26</v>
      </c>
      <c r="K5" s="9" t="s">
        <v>27</v>
      </c>
      <c r="L5" s="9" t="s">
        <v>28</v>
      </c>
      <c r="M5" s="9" t="s">
        <v>29</v>
      </c>
    </row>
    <row r="6" spans="1:13" x14ac:dyDescent="0.25">
      <c r="A6" s="6" t="s">
        <v>30</v>
      </c>
      <c r="B6" s="7">
        <v>50000</v>
      </c>
      <c r="C6" s="10">
        <f>B29</f>
      </c>
      <c r="D6" s="10">
        <f>C29</f>
      </c>
      <c r="E6" s="10">
        <f>D29</f>
      </c>
      <c r="F6" s="10">
        <f>E29</f>
      </c>
      <c r="G6" s="10">
        <f>F29</f>
      </c>
      <c r="H6" s="10">
        <f>G29</f>
      </c>
      <c r="I6" s="10">
        <f>H29</f>
      </c>
      <c r="J6" s="10">
        <f>I29</f>
      </c>
      <c r="K6" s="10">
        <f>J29</f>
      </c>
      <c r="L6" s="10">
        <f>K29</f>
      </c>
      <c r="M6" s="10">
        <f>L29</f>
      </c>
    </row>
    <row r="7" spans="1:13" x14ac:dyDescent="0.25">
      <c r="A7" s="11" t="s">
        <v>31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3" x14ac:dyDescent="0.25">
      <c r="A8" s="12" t="s">
        <v>32</v>
      </c>
      <c r="B8" s="7">
        <v>140000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</row>
    <row r="9" spans="1:13" x14ac:dyDescent="0.25">
      <c r="A9" s="12" t="s">
        <v>33</v>
      </c>
      <c r="B9" s="7">
        <v>8000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</row>
    <row r="10" spans="1:13" x14ac:dyDescent="0.25">
      <c r="A10" s="12" t="s">
        <v>34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</row>
    <row r="11" spans="1:13" x14ac:dyDescent="0.25">
      <c r="A11" s="12" t="s">
        <v>35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</row>
    <row r="12" spans="1:13" x14ac:dyDescent="0.25">
      <c r="A12" s="12" t="s">
        <v>36</v>
      </c>
      <c r="B12" s="7">
        <v>500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</row>
    <row r="13" spans="1:13" x14ac:dyDescent="0.25">
      <c r="A13" s="6" t="s">
        <v>37</v>
      </c>
      <c r="B13" s="13">
        <f>SUM(B8:B12)</f>
      </c>
      <c r="C13" s="13">
        <f>SUM(C8:C12)</f>
      </c>
      <c r="D13" s="13">
        <f>SUM(D8:D12)</f>
      </c>
      <c r="E13" s="13">
        <f>SUM(E8:E12)</f>
      </c>
      <c r="F13" s="13">
        <f>SUM(F8:F12)</f>
      </c>
      <c r="G13" s="13">
        <f>SUM(G8:G12)</f>
      </c>
      <c r="H13" s="13">
        <f>SUM(H8:H12)</f>
      </c>
      <c r="I13" s="13">
        <f>SUM(I8:I12)</f>
      </c>
      <c r="J13" s="13">
        <f>SUM(J8:J12)</f>
      </c>
      <c r="K13" s="13">
        <f>SUM(K8:K12)</f>
      </c>
      <c r="L13" s="13">
        <f>SUM(L8:L12)</f>
      </c>
      <c r="M13" s="13">
        <f>SUM(M8:M12)</f>
      </c>
    </row>
    <row r="14" spans="1:13" x14ac:dyDescent="0.25">
      <c r="A14" s="11" t="s">
        <v>38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1:13" x14ac:dyDescent="0.25">
      <c r="A15" s="12" t="s">
        <v>39</v>
      </c>
      <c r="B15" s="7">
        <v>62000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</row>
    <row r="16" spans="1:13" x14ac:dyDescent="0.25">
      <c r="A16" s="12" t="s">
        <v>40</v>
      </c>
      <c r="B16" s="7">
        <v>9500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</row>
    <row r="17" spans="1:13" x14ac:dyDescent="0.25">
      <c r="A17" s="12" t="s">
        <v>41</v>
      </c>
      <c r="B17" s="7">
        <v>18000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</row>
    <row r="18" spans="1:13" x14ac:dyDescent="0.25">
      <c r="A18" s="12" t="s">
        <v>42</v>
      </c>
      <c r="B18" s="7">
        <v>6000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</row>
    <row r="19" spans="1:13" x14ac:dyDescent="0.25">
      <c r="A19" s="12" t="s">
        <v>43</v>
      </c>
      <c r="B19" s="7">
        <v>3200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</row>
    <row r="20" spans="1:13" x14ac:dyDescent="0.25">
      <c r="A20" s="12" t="s">
        <v>44</v>
      </c>
      <c r="B20" s="7">
        <v>1800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</row>
    <row r="21" spans="1:13" x14ac:dyDescent="0.25">
      <c r="A21" s="12" t="s">
        <v>45</v>
      </c>
      <c r="B21" s="7">
        <v>650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</row>
    <row r="22" spans="1:13" x14ac:dyDescent="0.25">
      <c r="A22" s="12" t="s">
        <v>46</v>
      </c>
      <c r="B22" s="7">
        <v>1200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</row>
    <row r="23" spans="1:13" x14ac:dyDescent="0.25">
      <c r="A23" s="12" t="s">
        <v>47</v>
      </c>
      <c r="B23" s="7">
        <v>4000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</row>
    <row r="24" spans="1:13" x14ac:dyDescent="0.25">
      <c r="A24" s="12" t="s">
        <v>48</v>
      </c>
      <c r="B24" s="7">
        <v>10000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</row>
    <row r="25" spans="1:13" x14ac:dyDescent="0.25">
      <c r="A25" s="12" t="s">
        <v>49</v>
      </c>
      <c r="B25" s="7">
        <v>1500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</row>
    <row r="26" spans="1:13" x14ac:dyDescent="0.25">
      <c r="A26" s="6" t="s">
        <v>50</v>
      </c>
      <c r="B26" s="13">
        <f>SUM(B15:B25)</f>
      </c>
      <c r="C26" s="13">
        <f>SUM(C15:C25)</f>
      </c>
      <c r="D26" s="13">
        <f>SUM(D15:D25)</f>
      </c>
      <c r="E26" s="13">
        <f>SUM(E15:E25)</f>
      </c>
      <c r="F26" s="13">
        <f>SUM(F15:F25)</f>
      </c>
      <c r="G26" s="13">
        <f>SUM(G15:G25)</f>
      </c>
      <c r="H26" s="13">
        <f>SUM(H15:H25)</f>
      </c>
      <c r="I26" s="13">
        <f>SUM(I15:I25)</f>
      </c>
      <c r="J26" s="13">
        <f>SUM(J15:J25)</f>
      </c>
      <c r="K26" s="13">
        <f>SUM(K15:K25)</f>
      </c>
      <c r="L26" s="13">
        <f>SUM(L15:L25)</f>
      </c>
      <c r="M26" s="13">
        <f>SUM(M15:M25)</f>
      </c>
    </row>
    <row r="28" spans="1:13" x14ac:dyDescent="0.25">
      <c r="A28" s="6" t="s">
        <v>51</v>
      </c>
      <c r="B28" s="14">
        <f>B13-B26</f>
      </c>
      <c r="C28" s="14">
        <f>C13-C26</f>
      </c>
      <c r="D28" s="14">
        <f>D13-D26</f>
      </c>
      <c r="E28" s="14">
        <f>E13-E26</f>
      </c>
      <c r="F28" s="14">
        <f>F13-F26</f>
      </c>
      <c r="G28" s="14">
        <f>G13-G26</f>
      </c>
      <c r="H28" s="14">
        <f>H13-H26</f>
      </c>
      <c r="I28" s="14">
        <f>I13-I26</f>
      </c>
      <c r="J28" s="14">
        <f>J13-J26</f>
      </c>
      <c r="K28" s="14">
        <f>K13-K26</f>
      </c>
      <c r="L28" s="14">
        <f>L13-L26</f>
      </c>
      <c r="M28" s="14">
        <f>M13-M26</f>
      </c>
    </row>
    <row r="29" spans="1:13" x14ac:dyDescent="0.25">
      <c r="A29" s="15" t="s">
        <v>52</v>
      </c>
      <c r="B29" s="16">
        <f>B6+B28</f>
      </c>
      <c r="C29" s="16">
        <f>C6+C28</f>
      </c>
      <c r="D29" s="16">
        <f>D6+D28</f>
      </c>
      <c r="E29" s="16">
        <f>E6+E28</f>
      </c>
      <c r="F29" s="16">
        <f>F6+F28</f>
      </c>
      <c r="G29" s="16">
        <f>G6+G28</f>
      </c>
      <c r="H29" s="16">
        <f>H6+H28</f>
      </c>
      <c r="I29" s="16">
        <f>I6+I28</f>
      </c>
      <c r="J29" s="16">
        <f>J6+J28</f>
      </c>
      <c r="K29" s="16">
        <f>K6+K28</f>
      </c>
      <c r="L29" s="16">
        <f>L6+L28</f>
      </c>
      <c r="M29" s="16">
        <f>M6+M28</f>
      </c>
    </row>
    <row r="30" spans="1:13" x14ac:dyDescent="0.25">
      <c r="A30" s="17" t="s">
        <v>53</v>
      </c>
      <c r="B30" s="18">
        <f>B29-$B$3</f>
      </c>
      <c r="C30" s="18">
        <f>C29-$B$3</f>
      </c>
      <c r="D30" s="18">
        <f>D29-$B$3</f>
      </c>
      <c r="E30" s="18">
        <f>E29-$B$3</f>
      </c>
      <c r="F30" s="18">
        <f>F29-$B$3</f>
      </c>
      <c r="G30" s="18">
        <f>G29-$B$3</f>
      </c>
      <c r="H30" s="18">
        <f>H29-$B$3</f>
      </c>
      <c r="I30" s="18">
        <f>I29-$B$3</f>
      </c>
      <c r="J30" s="18">
        <f>J29-$B$3</f>
      </c>
      <c r="K30" s="18">
        <f>K29-$B$3</f>
      </c>
      <c r="L30" s="18">
        <f>L29-$B$3</f>
      </c>
      <c r="M30" s="18">
        <f>M29-$B$3</f>
      </c>
    </row>
  </sheetData>
  <mergeCells count="3">
    <mergeCell ref="A1:M1"/>
    <mergeCell ref="A7:M7"/>
    <mergeCell ref="A14:M14"/>
  </mergeCells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28C75"/>
    <pageSetUpPr fitToPage="1"/>
  </sheetPr>
  <dimension ref="A1:N23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14" width="12" customWidth="1"/>
  </cols>
  <sheetData>
    <row r="1" spans="1:14" x14ac:dyDescent="0.25">
      <c r="A1" s="5" t="s">
        <v>54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3" spans="1:2" x14ac:dyDescent="0.25">
      <c r="A3" s="6" t="s">
        <v>17</v>
      </c>
      <c r="B3" s="7">
        <v>25000</v>
      </c>
    </row>
    <row r="5" spans="1:14" x14ac:dyDescent="0.25">
      <c r="A5" s="8" t="s">
        <v>6</v>
      </c>
      <c r="B5" s="9" t="s">
        <v>55</v>
      </c>
      <c r="C5" s="9" t="s">
        <v>56</v>
      </c>
      <c r="D5" s="9" t="s">
        <v>57</v>
      </c>
      <c r="E5" s="9" t="s">
        <v>58</v>
      </c>
      <c r="F5" s="9" t="s">
        <v>59</v>
      </c>
      <c r="G5" s="9" t="s">
        <v>60</v>
      </c>
      <c r="H5" s="9" t="s">
        <v>61</v>
      </c>
      <c r="I5" s="9" t="s">
        <v>62</v>
      </c>
      <c r="J5" s="9" t="s">
        <v>63</v>
      </c>
      <c r="K5" s="9" t="s">
        <v>64</v>
      </c>
      <c r="L5" s="9" t="s">
        <v>65</v>
      </c>
      <c r="M5" s="9" t="s">
        <v>66</v>
      </c>
      <c r="N5" s="9" t="s">
        <v>67</v>
      </c>
    </row>
    <row r="6" spans="1:14" x14ac:dyDescent="0.25">
      <c r="A6" s="6" t="s">
        <v>30</v>
      </c>
      <c r="B6" s="7">
        <v>50000</v>
      </c>
      <c r="C6" s="10">
        <f>B22</f>
      </c>
      <c r="D6" s="10">
        <f>C22</f>
      </c>
      <c r="E6" s="10">
        <f>D22</f>
      </c>
      <c r="F6" s="10">
        <f>E22</f>
      </c>
      <c r="G6" s="10">
        <f>F22</f>
      </c>
      <c r="H6" s="10">
        <f>G22</f>
      </c>
      <c r="I6" s="10">
        <f>H22</f>
      </c>
      <c r="J6" s="10">
        <f>I22</f>
      </c>
      <c r="K6" s="10">
        <f>J22</f>
      </c>
      <c r="L6" s="10">
        <f>K22</f>
      </c>
      <c r="M6" s="10">
        <f>L22</f>
      </c>
      <c r="N6" s="10">
        <f>M22</f>
      </c>
    </row>
    <row r="7" spans="1:14" x14ac:dyDescent="0.25">
      <c r="A7" s="11" t="s">
        <v>31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14" x14ac:dyDescent="0.25">
      <c r="A8" s="12" t="s">
        <v>68</v>
      </c>
      <c r="B8" s="7">
        <v>32000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x14ac:dyDescent="0.25">
      <c r="A9" s="12" t="s">
        <v>69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</row>
    <row r="10" spans="1:14" x14ac:dyDescent="0.25">
      <c r="A10" s="6" t="s">
        <v>37</v>
      </c>
      <c r="B10" s="13">
        <f>SUM(B8:B9)</f>
      </c>
      <c r="C10" s="13">
        <f>SUM(C8:C9)</f>
      </c>
      <c r="D10" s="13">
        <f>SUM(D8:D9)</f>
      </c>
      <c r="E10" s="13">
        <f>SUM(E8:E9)</f>
      </c>
      <c r="F10" s="13">
        <f>SUM(F8:F9)</f>
      </c>
      <c r="G10" s="13">
        <f>SUM(G8:G9)</f>
      </c>
      <c r="H10" s="13">
        <f>SUM(H8:H9)</f>
      </c>
      <c r="I10" s="13">
        <f>SUM(I8:I9)</f>
      </c>
      <c r="J10" s="13">
        <f>SUM(J8:J9)</f>
      </c>
      <c r="K10" s="13">
        <f>SUM(K8:K9)</f>
      </c>
      <c r="L10" s="13">
        <f>SUM(L8:L9)</f>
      </c>
      <c r="M10" s="13">
        <f>SUM(M8:M9)</f>
      </c>
      <c r="N10" s="13">
        <f>SUM(N8:N9)</f>
      </c>
    </row>
    <row r="11" spans="1:14" x14ac:dyDescent="0.25">
      <c r="A11" s="11" t="s">
        <v>38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spans="1:14" x14ac:dyDescent="0.25">
      <c r="A12" s="12" t="s">
        <v>70</v>
      </c>
      <c r="B12" s="7">
        <v>14000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x14ac:dyDescent="0.25">
      <c r="A13" s="12" t="s">
        <v>40</v>
      </c>
      <c r="B13" s="7">
        <v>9500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</row>
    <row r="14" spans="1:14" x14ac:dyDescent="0.25">
      <c r="A14" s="12" t="s">
        <v>71</v>
      </c>
      <c r="B14" s="7">
        <v>4200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x14ac:dyDescent="0.25">
      <c r="A15" s="12" t="s">
        <v>72</v>
      </c>
      <c r="B15" s="7">
        <v>1400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</row>
    <row r="16" spans="1:14" x14ac:dyDescent="0.25">
      <c r="A16" s="12" t="s">
        <v>73</v>
      </c>
      <c r="B16" s="7">
        <v>3200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x14ac:dyDescent="0.25">
      <c r="A17" s="12" t="s">
        <v>74</v>
      </c>
      <c r="B17" s="7">
        <v>2500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</row>
    <row r="18" spans="1:14" x14ac:dyDescent="0.25">
      <c r="A18" s="12" t="s">
        <v>49</v>
      </c>
      <c r="B18" s="7">
        <v>400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x14ac:dyDescent="0.25">
      <c r="A19" s="6" t="s">
        <v>50</v>
      </c>
      <c r="B19" s="13">
        <f>SUM(B12:B18)</f>
      </c>
      <c r="C19" s="13">
        <f>SUM(C12:C18)</f>
      </c>
      <c r="D19" s="13">
        <f>SUM(D12:D18)</f>
      </c>
      <c r="E19" s="13">
        <f>SUM(E12:E18)</f>
      </c>
      <c r="F19" s="13">
        <f>SUM(F12:F18)</f>
      </c>
      <c r="G19" s="13">
        <f>SUM(G12:G18)</f>
      </c>
      <c r="H19" s="13">
        <f>SUM(H12:H18)</f>
      </c>
      <c r="I19" s="13">
        <f>SUM(I12:I18)</f>
      </c>
      <c r="J19" s="13">
        <f>SUM(J12:J18)</f>
      </c>
      <c r="K19" s="13">
        <f>SUM(K12:K18)</f>
      </c>
      <c r="L19" s="13">
        <f>SUM(L12:L18)</f>
      </c>
      <c r="M19" s="13">
        <f>SUM(M12:M18)</f>
      </c>
      <c r="N19" s="13">
        <f>SUM(N12:N18)</f>
      </c>
    </row>
    <row r="21" spans="1:14" x14ac:dyDescent="0.25">
      <c r="A21" s="6" t="s">
        <v>51</v>
      </c>
      <c r="B21" s="14">
        <f>B10-B19</f>
      </c>
      <c r="C21" s="14">
        <f>C10-C19</f>
      </c>
      <c r="D21" s="14">
        <f>D10-D19</f>
      </c>
      <c r="E21" s="14">
        <f>E10-E19</f>
      </c>
      <c r="F21" s="14">
        <f>F10-F19</f>
      </c>
      <c r="G21" s="14">
        <f>G10-G19</f>
      </c>
      <c r="H21" s="14">
        <f>H10-H19</f>
      </c>
      <c r="I21" s="14">
        <f>I10-I19</f>
      </c>
      <c r="J21" s="14">
        <f>J10-J19</f>
      </c>
      <c r="K21" s="14">
        <f>K10-K19</f>
      </c>
      <c r="L21" s="14">
        <f>L10-L19</f>
      </c>
      <c r="M21" s="14">
        <f>M10-M19</f>
      </c>
      <c r="N21" s="14">
        <f>N10-N19</f>
      </c>
    </row>
    <row r="22" spans="1:14" x14ac:dyDescent="0.25">
      <c r="A22" s="15" t="s">
        <v>52</v>
      </c>
      <c r="B22" s="16">
        <f>B6+B21</f>
      </c>
      <c r="C22" s="16">
        <f>C6+C21</f>
      </c>
      <c r="D22" s="16">
        <f>D6+D21</f>
      </c>
      <c r="E22" s="16">
        <f>E6+E21</f>
      </c>
      <c r="F22" s="16">
        <f>F6+F21</f>
      </c>
      <c r="G22" s="16">
        <f>G6+G21</f>
      </c>
      <c r="H22" s="16">
        <f>H6+H21</f>
      </c>
      <c r="I22" s="16">
        <f>I6+I21</f>
      </c>
      <c r="J22" s="16">
        <f>J6+J21</f>
      </c>
      <c r="K22" s="16">
        <f>K6+K21</f>
      </c>
      <c r="L22" s="16">
        <f>L6+L21</f>
      </c>
      <c r="M22" s="16">
        <f>M6+M21</f>
      </c>
      <c r="N22" s="16">
        <f>N6+N21</f>
      </c>
    </row>
    <row r="23" spans="1:14" x14ac:dyDescent="0.25">
      <c r="A23" s="17" t="s">
        <v>53</v>
      </c>
      <c r="B23" s="18">
        <f>B22-$B$3</f>
      </c>
      <c r="C23" s="18">
        <f>C22-$B$3</f>
      </c>
      <c r="D23" s="18">
        <f>D22-$B$3</f>
      </c>
      <c r="E23" s="18">
        <f>E22-$B$3</f>
      </c>
      <c r="F23" s="18">
        <f>F22-$B$3</f>
      </c>
      <c r="G23" s="18">
        <f>G22-$B$3</f>
      </c>
      <c r="H23" s="18">
        <f>H22-$B$3</f>
      </c>
      <c r="I23" s="18">
        <f>I22-$B$3</f>
      </c>
      <c r="J23" s="18">
        <f>J22-$B$3</f>
      </c>
      <c r="K23" s="18">
        <f>K22-$B$3</f>
      </c>
      <c r="L23" s="18">
        <f>L22-$B$3</f>
      </c>
      <c r="M23" s="18">
        <f>M22-$B$3</f>
      </c>
      <c r="N23" s="18">
        <f>N22-$B$3</f>
      </c>
    </row>
  </sheetData>
  <mergeCells count="3">
    <mergeCell ref="A1:N1"/>
    <mergeCell ref="A7:N7"/>
    <mergeCell ref="A11:N11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12-Month Forecast</vt:lpstr>
      <vt:lpstr>13-Week Forecast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Aesthetic Executive</dc:creator>
  <dc:title/>
  <dc:subject/>
  <dc:description/>
  <cp:keywords/>
  <cp:category/>
  <cp:lastModifiedBy>Aesthetic Executive</cp:lastModifiedBy>
  <dcterms:created xsi:type="dcterms:W3CDTF">2026-08-27T02:09:02Z</dcterms:created>
  <dcterms:modified xsi:type="dcterms:W3CDTF">2026-08-27T02:09:02Z</dcterms:modified>
</cp:coreProperties>
</file>